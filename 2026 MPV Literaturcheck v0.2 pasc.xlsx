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285" documentId="8_{1D296664-0C7B-4FE8-B352-6150EC47B447}" xr6:coauthVersionLast="47" xr6:coauthVersionMax="47" xr10:uidLastSave="{7CBBAAC5-8E32-B54B-85A3-7C00409153C0}"/>
  <bookViews>
    <workbookView xWindow="1840" yWindow="5920" windowWidth="29400" windowHeight="18460" xr2:uid="{FBD5382E-A212-41E0-9A0C-43789FF61CA2}"/>
  </bookViews>
  <sheets>
    <sheet name="Literatur" sheetId="1" r:id="rId1"/>
    <sheet name="Zitatabgleich" sheetId="3" r:id="rId2"/>
    <sheet name="Listen" sheetId="2" r:id="rId3"/>
  </sheets>
  <definedNames>
    <definedName name="_xlnm.Print_Area" localSheetId="0">Literatur!$A$1:$R$50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B3" i="1"/>
  <c r="B2" i="1"/>
  <c r="B1" i="1"/>
</calcChain>
</file>

<file path=xl/sharedStrings.xml><?xml version="1.0" encoding="utf-8"?>
<sst xmlns="http://schemas.openxmlformats.org/spreadsheetml/2006/main" count="645" uniqueCount="321">
  <si>
    <t>Frage</t>
  </si>
  <si>
    <t>Werktyp</t>
  </si>
  <si>
    <t>Seiten-Status</t>
  </si>
  <si>
    <t>Standort</t>
  </si>
  <si>
    <t>Im Dossier zitiert?</t>
  </si>
  <si>
    <t>Kritische Felder</t>
  </si>
  <si>
    <t>Final OK</t>
  </si>
  <si>
    <t>FW1</t>
  </si>
  <si>
    <t>FW2</t>
  </si>
  <si>
    <t>FW3</t>
  </si>
  <si>
    <t>BW4</t>
  </si>
  <si>
    <t>BW5</t>
  </si>
  <si>
    <t>Kontext</t>
  </si>
  <si>
    <t>Buch</t>
  </si>
  <si>
    <t>Sammelband-Kap.</t>
  </si>
  <si>
    <t>Zeitschrift</t>
  </si>
  <si>
    <t>Online</t>
  </si>
  <si>
    <t>Thesis</t>
  </si>
  <si>
    <t>Report</t>
  </si>
  <si>
    <t>OK</t>
  </si>
  <si>
    <t>Abweichung</t>
  </si>
  <si>
    <t>TODO</t>
  </si>
  <si>
    <t>n/a</t>
  </si>
  <si>
    <t>ZHB</t>
  </si>
  <si>
    <t>eigenes Regal</t>
  </si>
  <si>
    <t>PDF</t>
  </si>
  <si>
    <t>Fernleihe</t>
  </si>
  <si>
    <t>fehlt</t>
  </si>
  <si>
    <t>Ja</t>
  </si>
  <si>
    <t>Nein</t>
  </si>
  <si>
    <t>Prüfen</t>
  </si>
  <si>
    <t>keine</t>
  </si>
  <si>
    <t>Auflage</t>
  </si>
  <si>
    <t>Jahr</t>
  </si>
  <si>
    <t>Verlag</t>
  </si>
  <si>
    <t>Seiten</t>
  </si>
  <si>
    <t>Autor:in</t>
  </si>
  <si>
    <t>☐</t>
  </si>
  <si>
    <t>✓</t>
  </si>
  <si>
    <t>Offene Verifikationen (J=TODO):</t>
  </si>
  <si>
    <t>Verwaiste Quellen (O=Nein):</t>
  </si>
  <si>
    <t>Fortschritt (Final OK):</t>
  </si>
  <si>
    <t>Ziel am 01.05.2026: 0 / 0 / n/n</t>
  </si>
  <si>
    <t>BibKey</t>
  </si>
  <si>
    <t>Titel (Kurz)</t>
  </si>
  <si>
    <t>Seiten (bib)</t>
  </si>
  <si>
    <t>Seiten (verifiziert)</t>
  </si>
  <si>
    <t>Signatur/URL</t>
  </si>
  <si>
    <t>Prüfdatum</t>
  </si>
  <si>
    <t>Prüfer:in-Kürzel</t>
  </si>
  <si>
    <t>Notiz</t>
  </si>
  <si>
    <t>stamm2021fehlenderblick</t>
  </si>
  <si>
    <t>Stamm</t>
  </si>
  <si>
    <t>Der fehlende Blick auf begabte Minoritäten</t>
  </si>
  <si>
    <t>576--588</t>
  </si>
  <si>
    <t>576--587 vs. 576--588 (Review-Abweichung)</t>
  </si>
  <si>
    <t>kellerkoller2021hellekoepfe</t>
  </si>
  <si>
    <t>Keller-Koller</t>
  </si>
  <si>
    <t>Helle Köpfe mit Migrationshintergrund</t>
  </si>
  <si>
    <t>Seitenbereich aus Huser (2021) nachschlagen und in .bib eintragen</t>
  </si>
  <si>
    <t>kellerkoller2009begabte</t>
  </si>
  <si>
    <t>Begabte mit Migrationshintergrund (MA)</t>
  </si>
  <si>
    <t>Masterarbeit FHNW</t>
  </si>
  <si>
    <t>maehler2018diagnostik</t>
  </si>
  <si>
    <t>Maehler, Shajek &amp; Brinkmann (Hg.)</t>
  </si>
  <si>
    <t>Diagnostik bei Migrantinnen und Migranten</t>
  </si>
  <si>
    <t>Kap. 1–3, 9–10 (~80 S.)</t>
  </si>
  <si>
    <t>preckel2013hochbegabung</t>
  </si>
  <si>
    <t>Preckel &amp; Baudson</t>
  </si>
  <si>
    <t>Hochbegabung: Erkennen, Verstehen, Fördern</t>
  </si>
  <si>
    <t>Kap. 1–2 (~40 S.)</t>
  </si>
  <si>
    <t>muelleroppliger2021handbuch</t>
  </si>
  <si>
    <t>Müller-Oppliger &amp; Weigand (Hg.)</t>
  </si>
  <si>
    <t>Handbuch Begabung</t>
  </si>
  <si>
    <t>verteilt auf Fr.1 und 4 (~80 S.)</t>
  </si>
  <si>
    <t>trautmann2016einfuehrung</t>
  </si>
  <si>
    <t>Trautmann</t>
  </si>
  <si>
    <t>Einführung in die Hochbegabtenpädagogik</t>
  </si>
  <si>
    <t>3. Aufl.</t>
  </si>
  <si>
    <t>reutlinger2015hochbegabung</t>
  </si>
  <si>
    <t>Reutlinger, Leana-Tascilar &amp; Ziegler</t>
  </si>
  <si>
    <t>Hochbegabung und Migrationshintergrund</t>
  </si>
  <si>
    <t>FAU Erlangen-Nürnberg (~15 S.)</t>
  </si>
  <si>
    <t>ipege2009professionelle</t>
  </si>
  <si>
    <t>iPEGE (Hg.)</t>
  </si>
  <si>
    <t>Professionelle Begabtenförderung</t>
  </si>
  <si>
    <t>özbf Salzburg, Kap. Diagnostik (~20 S.)</t>
  </si>
  <si>
    <t>uslucan2012begabung</t>
  </si>
  <si>
    <t>Uslucan</t>
  </si>
  <si>
    <t>Begabung und Migration</t>
  </si>
  <si>
    <t>Vortrag Münster 13.09.2012</t>
  </si>
  <si>
    <t>stamm2014handbuch</t>
  </si>
  <si>
    <t>Stamm (Hg.)</t>
  </si>
  <si>
    <t>Handbuch Talententwicklung</t>
  </si>
  <si>
    <t>Kap. Underachievement/Migration (~40 S.)</t>
  </si>
  <si>
    <t>webb2020doppeldiagnosen</t>
  </si>
  <si>
    <t>Webb et al.</t>
  </si>
  <si>
    <t>Doppeldiagnosen und Fehldiagnosen bei Hochbegabung</t>
  </si>
  <si>
    <t>2. Aufl.</t>
  </si>
  <si>
    <t>dt. Übers. der 3. Aufl. (~25 S.)</t>
  </si>
  <si>
    <t>rosebrock2010grundlagen</t>
  </si>
  <si>
    <t>Rosebrock &amp; Nix</t>
  </si>
  <si>
    <t>Grundlagen der Lesedidaktik</t>
  </si>
  <si>
    <t>Kap. 1–4 (~60 S.)</t>
  </si>
  <si>
    <t>gold2018lesenkannmanlernen</t>
  </si>
  <si>
    <t>Gold</t>
  </si>
  <si>
    <t>Lesen kann man lernen</t>
  </si>
  <si>
    <t>Kap. 1–4 (~70 S.)</t>
  </si>
  <si>
    <t>lehwald2017motivation</t>
  </si>
  <si>
    <t>Lehwald</t>
  </si>
  <si>
    <t>Motivation trifft Begabung</t>
  </si>
  <si>
    <t>Kap. 2–6, verteilt auf Fr.2/3 (~90 S.)</t>
  </si>
  <si>
    <t>fischer2020begabungsfoerderung</t>
  </si>
  <si>
    <t>Fischer et al. (Hg.)</t>
  </si>
  <si>
    <t>Begabungsförderung, Leistungsentwicklung, Bildungsgerechtigkeit</t>
  </si>
  <si>
    <t>Band 2, verteilt auf Fr.1/2/4 (~60 S.)</t>
  </si>
  <si>
    <t>sturm2016graphomotorik</t>
  </si>
  <si>
    <t>Sturm</t>
  </si>
  <si>
    <t>Zur Bedeutung der graphomotorischen Prozesse</t>
  </si>
  <si>
    <t>183--198</t>
  </si>
  <si>
    <t>16 S.</t>
  </si>
  <si>
    <t>grossrieder2010anerkennung</t>
  </si>
  <si>
    <t>Grossrieder</t>
  </si>
  <si>
    <t>Gleiches und Unterschiedliches anerkennen</t>
  </si>
  <si>
    <t>87--96</t>
  </si>
  <si>
    <t>10 S.</t>
  </si>
  <si>
    <t>kuhl2019diversitaet</t>
  </si>
  <si>
    <t>Kuhl &amp; Hofmann</t>
  </si>
  <si>
    <t>Diversität und Persönlichkeit</t>
  </si>
  <si>
    <t>35--57</t>
  </si>
  <si>
    <t>35--57 vs. 35--59 (Review-Abweichung)</t>
  </si>
  <si>
    <t>behrensen2019inklusive</t>
  </si>
  <si>
    <t>Behrensen</t>
  </si>
  <si>
    <t>Inklusive Begabungsförderung</t>
  </si>
  <si>
    <t>86--98</t>
  </si>
  <si>
    <t>13 S.</t>
  </si>
  <si>
    <t>booth2019index</t>
  </si>
  <si>
    <t>Booth &amp; Ainscow</t>
  </si>
  <si>
    <t>Index für Inklusion</t>
  </si>
  <si>
    <t>Dimensionen A–C, Fr.3/4 (~90 S.)</t>
  </si>
  <si>
    <t>stamm2012migranten</t>
  </si>
  <si>
    <t>Migranten mit Potenzial</t>
  </si>
  <si>
    <t>Dossier 12/4 SWISSEducation (~15 S.)</t>
  </si>
  <si>
    <t>kappus2010migration</t>
  </si>
  <si>
    <t>Kappus</t>
  </si>
  <si>
    <t>Umgang mit migrationsbedingter Heterogenität</t>
  </si>
  <si>
    <t>63--77</t>
  </si>
  <si>
    <t>15 S.</t>
  </si>
  <si>
    <t>buholzer2010allegleich</t>
  </si>
  <si>
    <t>Buholzer &amp; Kummer Wyss (Hg.)</t>
  </si>
  <si>
    <t>Alle gleich – alle unterschiedlich!</t>
  </si>
  <si>
    <t>verteilt auf Fr.4/5 (~60 S.)</t>
  </si>
  <si>
    <t>weigand2021separativ</t>
  </si>
  <si>
    <t>Weigand &amp; Kaiser</t>
  </si>
  <si>
    <t>Separativ oder integrativ?</t>
  </si>
  <si>
    <t>290--301</t>
  </si>
  <si>
    <t>~15 S.</t>
  </si>
  <si>
    <t>sedmak2021bildungsgerechtigkeit</t>
  </si>
  <si>
    <t>Sedmak &amp; Kapferer</t>
  </si>
  <si>
    <t>Begabtenförderung und Bildungsgerechtigkeit</t>
  </si>
  <si>
    <t>65--76</t>
  </si>
  <si>
    <t>muelleroppliger2021plurale</t>
  </si>
  <si>
    <t>Müller-Oppliger</t>
  </si>
  <si>
    <t>Plurale Gesellschaft, Inklusion, Bildungsgerechtigkeit</t>
  </si>
  <si>
    <t>32--45</t>
  </si>
  <si>
    <t>unger2010begabungsfoerderung</t>
  </si>
  <si>
    <t>Unger</t>
  </si>
  <si>
    <t>Begabungs- und Begabtenförderung NMS</t>
  </si>
  <si>
    <t>MA Univ. Salzburg/özbf (~20 S.)</t>
  </si>
  <si>
    <t>brunner2021hochbegabung</t>
  </si>
  <si>
    <t>Brunner, Gyseler &amp; Lienhard</t>
  </si>
  <si>
    <t>Hochbegabung (k)ein Problem?</t>
  </si>
  <si>
    <t>3. Aufl. 2021 vs. 1. Aufl. 2005 (Klett und Balmer, Zug) — ggf. .bib korrigieren</t>
  </si>
  <si>
    <t>burow2021positive</t>
  </si>
  <si>
    <t>Burow</t>
  </si>
  <si>
    <t>Positive Pädagogik</t>
  </si>
  <si>
    <t>~50 S.</t>
  </si>
  <si>
    <t>burow2020future</t>
  </si>
  <si>
    <t>Future Fridays</t>
  </si>
  <si>
    <t>~30 S.</t>
  </si>
  <si>
    <t>leikhof2021jugendliche</t>
  </si>
  <si>
    <t>Leikhof</t>
  </si>
  <si>
    <t>Jugendliche mit Migrationshintergrund in der Begabungsförderung</t>
  </si>
  <si>
    <t>Diss. Uni Köln, Kap. 1–3 (~60 S.)</t>
  </si>
  <si>
    <t>kosoroklabhart2021voneltern</t>
  </si>
  <si>
    <t>Košorok Labhart, Schöllhorn &amp; Luginbühl</t>
  </si>
  <si>
    <t>Von Eltern mit Migrationshintergrund lernen</t>
  </si>
  <si>
    <t>macha2019gender</t>
  </si>
  <si>
    <t>Macha</t>
  </si>
  <si>
    <t>Gender und diversitätssensible Begabungsförderung</t>
  </si>
  <si>
    <t>160--172</t>
  </si>
  <si>
    <t>160--172 vs. 160--173 (Review-Abweichung)</t>
  </si>
  <si>
    <t>bfs2022migration</t>
  </si>
  <si>
    <t>Bundesamt für Statistik BFS</t>
  </si>
  <si>
    <t>Migration und Integration</t>
  </si>
  <si>
    <t>BFS Neuchâtel</t>
  </si>
  <si>
    <t>erzinger2023pisa</t>
  </si>
  <si>
    <t>Erzinger, Pham, Prosperi &amp; Salvisberg</t>
  </si>
  <si>
    <t>PISA 2022: Die Schweiz im Fokus</t>
  </si>
  <si>
    <t>Univ. Bern</t>
  </si>
  <si>
    <t>stamm2014mirage</t>
  </si>
  <si>
    <t>Stamm, Leumann &amp; Kost</t>
  </si>
  <si>
    <t>Erfolgreiche Migranten</t>
  </si>
  <si>
    <t>Waxmann</t>
  </si>
  <si>
    <t>stern2025intelligenz</t>
  </si>
  <si>
    <t>Stern</t>
  </si>
  <si>
    <t>Die Intelligenz kann sich im Schulalter noch verändern</t>
  </si>
  <si>
    <t>Bildung Schweiz (LCH), Nr. 3</t>
  </si>
  <si>
    <t>kellerkoller2011erkennen</t>
  </si>
  <si>
    <t>Begabte mit Migrationshintergrund – Erkennen und Fördern</t>
  </si>
  <si>
    <t>lissa-preis.ch</t>
  </si>
  <si>
    <t>lemas2023begriffsklaerung</t>
  </si>
  <si>
    <t>Leistung macht Schule</t>
  </si>
  <si>
    <t>Begriffsklärung Begabungs-/Begabten-/Potenzial-/Talentförderung</t>
  </si>
  <si>
    <t>leistung-macht-schule.de</t>
  </si>
  <si>
    <t>dvs2025bbf</t>
  </si>
  <si>
    <t>Dienststelle Volksschulbildung Luzern</t>
  </si>
  <si>
    <t>Integrative Begabungs- und Begabtenförderung</t>
  </si>
  <si>
    <t>volksschulbildung.lu.ch</t>
  </si>
  <si>
    <t>mun2020identifying</t>
  </si>
  <si>
    <t>Mun et al.</t>
  </si>
  <si>
    <t>Identifying and Serving English Learners in Gifted Education</t>
  </si>
  <si>
    <t>297--335</t>
  </si>
  <si>
    <t>J. Educ. Gifted 43(4) — Systematic Review</t>
  </si>
  <si>
    <t>gubbins2020promising</t>
  </si>
  <si>
    <t>Gubbins et al.</t>
  </si>
  <si>
    <t>Promising Practices: EL Identification for Gifted Programs</t>
  </si>
  <si>
    <t>336--369</t>
  </si>
  <si>
    <t>J. Educ. Gifted 43(4) — qual. Feldstudie</t>
  </si>
  <si>
    <t>alhroub2021utility</t>
  </si>
  <si>
    <t>Al-Hroub</t>
  </si>
  <si>
    <t>Psychometric &amp; Dynamic Assessments (2E)</t>
  </si>
  <si>
    <t>Art. 747872</t>
  </si>
  <si>
    <t>Front. Psychol. 12 — 2E, Jordanien</t>
  </si>
  <si>
    <t>alodat2025equitable</t>
  </si>
  <si>
    <t>Alodat</t>
  </si>
  <si>
    <t>Equitable Identification: Gifted Refugee Students</t>
  </si>
  <si>
    <t>Gifted Child Quarterly, OnlineFirst, 26 Studien</t>
  </si>
  <si>
    <t>\cite-Treffer im Dossier</t>
  </si>
  <si>
    <t>Status</t>
  </si>
  <si>
    <t xml:space="preserve">7--52 </t>
  </si>
  <si>
    <t>76-- 78</t>
  </si>
  <si>
    <t>27--77</t>
  </si>
  <si>
    <t>Grossenbacher und Tettenborn</t>
  </si>
  <si>
    <t>1. Auflage</t>
  </si>
  <si>
    <t>317--324</t>
  </si>
  <si>
    <t>Handbuch Talententwicklung begabte Underachiever</t>
  </si>
  <si>
    <t>Sparfeldt, Buch, Rost</t>
  </si>
  <si>
    <t>365-372</t>
  </si>
  <si>
    <t>Handbuch Talententwicklung Minoritäten als Begabungsreserven</t>
  </si>
  <si>
    <t xml:space="preserve">375-382 </t>
  </si>
  <si>
    <t>Fischer und Fischer-Ontrup</t>
  </si>
  <si>
    <t xml:space="preserve">Handbuch Talententwicklung Begabung, Talent und Lern und leistungsschwierigkeiten </t>
  </si>
  <si>
    <t>393-400</t>
  </si>
  <si>
    <t>Sliwka</t>
  </si>
  <si>
    <t>Handbuch Talententwicklung Die Bedeutung von Lehrkräften bei der Talentidentifikation und Förderung</t>
  </si>
  <si>
    <t>453-462</t>
  </si>
  <si>
    <t>Kaufmann und Gyssler</t>
  </si>
  <si>
    <t>Sprachbegabung, Lesekompetenz und ihre Férderung in der Schulpraxis</t>
  </si>
  <si>
    <t>487- 494</t>
  </si>
  <si>
    <t>21--43</t>
  </si>
  <si>
    <t>11--22</t>
  </si>
  <si>
    <t>ca 4</t>
  </si>
  <si>
    <t>Horvath2021EliteBegabung und soz Ungleichheit</t>
  </si>
  <si>
    <t>Horvath</t>
  </si>
  <si>
    <t>Elite, Begabung und soziale Ungleichheit- ungelöste Gerechtigskeitsfragen</t>
  </si>
  <si>
    <t>77--85</t>
  </si>
  <si>
    <t>Wollersheim2021 Handbuch Begabung</t>
  </si>
  <si>
    <t>Wollersheim</t>
  </si>
  <si>
    <t xml:space="preserve">Begabung als sozialhistorisches und soziokulturelles Konstrukt </t>
  </si>
  <si>
    <t>88-99</t>
  </si>
  <si>
    <t>Ziegler/Stern2021 Handbuch Begabung</t>
  </si>
  <si>
    <t>Ziegler undStern</t>
  </si>
  <si>
    <t>Der Einfluss von Erbe und Umwelt auf Bildung Intelligenz und Lernen</t>
  </si>
  <si>
    <t>104-112</t>
  </si>
  <si>
    <t>Stadelmann 2021</t>
  </si>
  <si>
    <t>Stadelmann</t>
  </si>
  <si>
    <t>Begbaungsentwicklung aus Sicht der Genetik und der kognitiven Neuropsychologie</t>
  </si>
  <si>
    <t>133-147</t>
  </si>
  <si>
    <t xml:space="preserve">Begabungsmodelle </t>
  </si>
  <si>
    <t>204-219</t>
  </si>
  <si>
    <t>Salome müller Oppliger 2021</t>
  </si>
  <si>
    <t>Müller Oppliger</t>
  </si>
  <si>
    <t>Pädagogische Diagnostik- Potenzialerfassung und Förderdiagnostik</t>
  </si>
  <si>
    <t>224-235</t>
  </si>
  <si>
    <t>Gauck2021Reimann</t>
  </si>
  <si>
    <t>Gauck und Reimann</t>
  </si>
  <si>
    <t>Psychologische Diagnostik in der Begabungd- und Begabtenförderung</t>
  </si>
  <si>
    <t>239-249</t>
  </si>
  <si>
    <t>Kuhn2021</t>
  </si>
  <si>
    <t>Kuhl</t>
  </si>
  <si>
    <t>Begabung,Bildung und Beziehung aus Sicht persönlchkeitspsychologisches Sicht</t>
  </si>
  <si>
    <t>185-202</t>
  </si>
  <si>
    <t>Reis,Renzulli,VMüllerOppliger</t>
  </si>
  <si>
    <t>Das Schoolwide Enrichement Modell SEM</t>
  </si>
  <si>
    <t>333-345</t>
  </si>
  <si>
    <t>Stahl</t>
  </si>
  <si>
    <t>Stahl2021</t>
  </si>
  <si>
    <t>Das multidimensionale Begabungs-Entwicklungs-tool mBET als Instrument multifunktionaler Förderdiagnsotik</t>
  </si>
  <si>
    <t>252-258</t>
  </si>
  <si>
    <t>546-553</t>
  </si>
  <si>
    <t>Greiten</t>
  </si>
  <si>
    <t>Greiten 2021 Handbuch Begabung</t>
  </si>
  <si>
    <t>Underachievement</t>
  </si>
  <si>
    <t>stamm2021handbuchBegabung</t>
  </si>
  <si>
    <t xml:space="preserve">der fehlende Blick auf begabte Minoriäten </t>
  </si>
  <si>
    <t>576-585</t>
  </si>
  <si>
    <t xml:space="preserve">Baum2021Schader Handbuch Begabung </t>
  </si>
  <si>
    <t>Baum Schader</t>
  </si>
  <si>
    <t>twice Exceptionality- in zweifacher Hinsicht aussergewöhnlich</t>
  </si>
  <si>
    <t>588-598</t>
  </si>
  <si>
    <t>121-123</t>
  </si>
  <si>
    <t xml:space="preserve">Band 10 </t>
  </si>
  <si>
    <t>Stärkung der Bildugnsgerechtigkeit bei Underachievement, Migration und Hochbegabung</t>
  </si>
  <si>
    <t>fischer2020begabungsfoerderungWarnecke und Hauke</t>
  </si>
  <si>
    <t>247--250</t>
  </si>
  <si>
    <t>253--267</t>
  </si>
  <si>
    <t>Koop Sedding2021</t>
  </si>
  <si>
    <t>Koop Sedding</t>
  </si>
  <si>
    <t xml:space="preserve">Frühes Erkennen von hohen Begabungen </t>
  </si>
  <si>
    <t>S. 260-267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</si>
</sst>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Font="1"/>
  </cellXfs>
  <cellStyles count="1">
    <cellStyle name="Standard" xfId="0" builtinId="0"/>
  </cellStyles>
  <dxfs count="30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05496"/>
        </patternFill>
      </fill>
    </dxf>
    <dxf>
      <alignment horizontal="center"/>
    </dxf>
    <dxf>
      <alignment wrapText="1"/>
    </dxf>
    <dxf>
      <numFmt numFmtId="164" formatCode="dd/mm/yyyy"/>
    </dxf>
    <dxf>
      <alignment horizontal="center"/>
    </dxf>
    <dxf>
      <alignment wrapText="1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0549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11F9B-92E3-44E8-AC7A-E53702FFAB53}" name="Tabelle1" displayName="Tabelle1" ref="A5:R72" totalsRowShown="0" headerRowDxfId="29">
  <autoFilter ref="A5:R72" xr:uid="{8CB11F9B-92E3-44E8-AC7A-E53702FFAB53}"/>
  <tableColumns count="18">
    <tableColumn id="1" xr3:uid="{9388833E-F8F3-4B60-9392-969E617F4D54}" name="BibKey"/>
    <tableColumn id="2" xr3:uid="{1432EEC6-AA2F-4397-B85E-78BCD56BE3B5}" name="Frage"/>
    <tableColumn id="3" xr3:uid="{D9CE1E9B-5035-472D-A9F8-2F1033B994D7}" name="Autor:in"/>
    <tableColumn id="4" xr3:uid="{1105A73B-730B-4281-9E3A-F8F53420E276}" name="Jahr" dataDxfId="28"/>
    <tableColumn id="5" xr3:uid="{4980661F-8ADD-4EC9-915D-1FA21C36BDB5}" name="Titel (Kurz)" dataDxfId="27"/>
    <tableColumn id="6" xr3:uid="{CCF50BC3-F643-43C7-BF90-47D076234654}" name="Werktyp"/>
    <tableColumn id="7" xr3:uid="{D612AC18-65F6-443E-9D0D-C75C308DFCF1}" name="Auflage"/>
    <tableColumn id="8" xr3:uid="{821F0CA5-D755-4F85-BC4A-104A0833BC19}" name="Seiten (bib)"/>
    <tableColumn id="9" xr3:uid="{3226AF62-8F66-48DA-A3AD-2941863A3434}" name="Seiten (verifiziert)"/>
    <tableColumn id="10" xr3:uid="{488B9813-E2A6-4E52-AE1E-A5A3FE8E99AF}" name="Seiten-Status" dataDxfId="26"/>
    <tableColumn id="11" xr3:uid="{62484444-B9DF-4C6A-9465-DE3FDAA907CA}" name="Standort"/>
    <tableColumn id="12" xr3:uid="{D7CFB074-F68E-4E00-9BAF-29407CCE6462}" name="Signatur/URL"/>
    <tableColumn id="13" xr3:uid="{BD05ABCA-4C13-42E4-B44D-7EBC8306F15A}" name="Prüfdatum" dataDxfId="25"/>
    <tableColumn id="14" xr3:uid="{212484A1-2617-4C10-B87E-0108CCB285FF}" name="Prüfer:in-Kürzel"/>
    <tableColumn id="15" xr3:uid="{D855292C-D75F-4A74-BE97-306FEB67EAC1}" name="Im Dossier zitiert?"/>
    <tableColumn id="16" xr3:uid="{9749C062-563C-40B3-8131-1BF5F06E6EDA}" name="Kritische Felder"/>
    <tableColumn id="17" xr3:uid="{BFDC7711-729C-4F0B-AA5F-027BE8104376}" name="Notiz" dataDxfId="24"/>
    <tableColumn id="18" xr3:uid="{49B49761-C28F-4EA0-9FA6-57B2B50770C9}" name="Final OK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C783-D19A-4627-9CE4-C4F3C234CFB1}" name="Tabelle_Zitate" displayName="Tabelle_Zitate" ref="A1:C46" totalsRowShown="0" headerRowDxfId="22">
  <autoFilter ref="A1:C46" xr:uid="{C9E7C783-D19A-4627-9CE4-C4F3C234CFB1}"/>
  <tableColumns count="3">
    <tableColumn id="1" xr3:uid="{CEDA0375-43BE-42BD-8E91-B423FF614E66}" name="BibKey">
      <calculatedColumnFormula>Literatur!A6</calculatedColumnFormula>
    </tableColumn>
    <tableColumn id="2" xr3:uid="{DDF1479C-079A-429B-BCED-44D2A20F994A}" name="\cite-Treffer im Dossier"/>
    <tableColumn id="3" xr3:uid="{80961EDB-2616-4737-AF41-6C0D254D2C25}" name="Status">
      <calculatedColumnFormula>IF(B2="","TODO",IF(B2=0,"NICHT ZITIERT","OK"))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F87499-FC3C-4833-B834-CC546DA7D49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d977feb-45f0-4b57-8773-e500e40c13d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6EF0-7985-4018-BC77-5B041739F52B}">
  <sheetPr>
    <pageSetUpPr fitToPage="1"/>
  </sheetPr>
  <dimension ref="A1:R72"/>
  <sheetViews>
    <sheetView tabSelected="1" workbookViewId="0">
      <pane ySplit="5" topLeftCell="A60" activePane="bottomLeft" state="frozen"/>
      <selection pane="bottomLeft" activeCell="C74" sqref="C74"/>
    </sheetView>
  </sheetViews>
  <sheetFormatPr baseColWidth="10" defaultColWidth="8.83203125" defaultRowHeight="15" x14ac:dyDescent="0.2"/>
  <cols>
    <col min="1" max="1" width="35.5" customWidth="1"/>
    <col min="2" max="2" width="12.5" customWidth="1"/>
    <col min="3" max="3" width="32" customWidth="1"/>
    <col min="4" max="4" width="9.83203125" customWidth="1"/>
    <col min="5" max="5" width="49.83203125" customWidth="1"/>
    <col min="6" max="6" width="23.1640625" customWidth="1"/>
    <col min="7" max="7" width="14.1640625" customWidth="1"/>
    <col min="8" max="8" width="16.83203125" customWidth="1"/>
    <col min="9" max="10" width="19.5" customWidth="1"/>
    <col min="11" max="11" width="17.83203125" customWidth="1"/>
    <col min="12" max="12" width="24.83203125" customWidth="1"/>
    <col min="13" max="13" width="16" customWidth="1"/>
    <col min="14" max="14" width="14.1640625" customWidth="1"/>
    <col min="15" max="15" width="15.1640625" customWidth="1"/>
    <col min="16" max="16" width="19.5" customWidth="1"/>
    <col min="17" max="17" width="49.83203125" customWidth="1"/>
    <col min="18" max="18" width="12.5" customWidth="1"/>
  </cols>
  <sheetData>
    <row r="1" spans="1:18" x14ac:dyDescent="0.2">
      <c r="A1" s="1" t="s">
        <v>39</v>
      </c>
      <c r="B1">
        <f>COUNTIF(Tabelle1[Seiten-Status],"TODO")</f>
        <v>5</v>
      </c>
      <c r="D1" s="3" t="s">
        <v>42</v>
      </c>
    </row>
    <row r="2" spans="1:18" x14ac:dyDescent="0.2">
      <c r="A2" s="1" t="s">
        <v>40</v>
      </c>
      <c r="B2">
        <f>COUNTIF(Tabelle1[Im Dossier zitiert?],"Nein")</f>
        <v>0</v>
      </c>
    </row>
    <row r="3" spans="1:18" x14ac:dyDescent="0.2">
      <c r="A3" s="1" t="s">
        <v>41</v>
      </c>
      <c r="B3" t="str">
        <f>COUNTIF(Tabelle1[Final OK],"✓") &amp; " / " &amp; ROWS(Tabelle1[])</f>
        <v>0 / 67</v>
      </c>
    </row>
    <row r="5" spans="1:18" x14ac:dyDescent="0.2">
      <c r="A5" s="4" t="s">
        <v>43</v>
      </c>
      <c r="B5" s="4" t="s">
        <v>0</v>
      </c>
      <c r="C5" s="4" t="s">
        <v>36</v>
      </c>
      <c r="D5" s="5" t="s">
        <v>33</v>
      </c>
      <c r="E5" s="4" t="s">
        <v>44</v>
      </c>
      <c r="F5" s="4" t="s">
        <v>1</v>
      </c>
      <c r="G5" s="4" t="s">
        <v>32</v>
      </c>
      <c r="H5" s="4" t="s">
        <v>45</v>
      </c>
      <c r="I5" s="4" t="s">
        <v>46</v>
      </c>
      <c r="J5" s="5" t="s">
        <v>2</v>
      </c>
      <c r="K5" s="4" t="s">
        <v>3</v>
      </c>
      <c r="L5" s="4" t="s">
        <v>47</v>
      </c>
      <c r="M5" s="4" t="s">
        <v>48</v>
      </c>
      <c r="N5" s="4" t="s">
        <v>49</v>
      </c>
      <c r="O5" s="4" t="s">
        <v>4</v>
      </c>
      <c r="P5" s="4" t="s">
        <v>5</v>
      </c>
      <c r="Q5" s="4" t="s">
        <v>50</v>
      </c>
      <c r="R5" s="5" t="s">
        <v>6</v>
      </c>
    </row>
    <row r="6" spans="1:18" ht="16" x14ac:dyDescent="0.2">
      <c r="A6" t="s">
        <v>51</v>
      </c>
      <c r="B6" t="s">
        <v>7</v>
      </c>
      <c r="C6" t="s">
        <v>52</v>
      </c>
      <c r="D6" s="6">
        <v>2021</v>
      </c>
      <c r="E6" s="8" t="s">
        <v>53</v>
      </c>
      <c r="F6" t="s">
        <v>14</v>
      </c>
      <c r="H6" t="s">
        <v>54</v>
      </c>
      <c r="I6">
        <v>10</v>
      </c>
      <c r="J6" s="6" t="s">
        <v>21</v>
      </c>
      <c r="M6" s="7"/>
      <c r="O6" t="s">
        <v>30</v>
      </c>
      <c r="P6" t="s">
        <v>35</v>
      </c>
      <c r="Q6" s="8" t="s">
        <v>55</v>
      </c>
      <c r="R6" s="6"/>
    </row>
    <row r="7" spans="1:18" ht="32" x14ac:dyDescent="0.2">
      <c r="A7" t="s">
        <v>56</v>
      </c>
      <c r="B7" t="s">
        <v>7</v>
      </c>
      <c r="C7" t="s">
        <v>57</v>
      </c>
      <c r="D7" s="6">
        <v>2021</v>
      </c>
      <c r="E7" s="8" t="s">
        <v>58</v>
      </c>
      <c r="F7" t="s">
        <v>14</v>
      </c>
      <c r="H7" t="s">
        <v>241</v>
      </c>
      <c r="I7">
        <v>3</v>
      </c>
      <c r="J7" s="6" t="s">
        <v>21</v>
      </c>
      <c r="M7" s="7"/>
      <c r="O7" t="s">
        <v>30</v>
      </c>
      <c r="P7" t="s">
        <v>35</v>
      </c>
      <c r="Q7" s="8" t="s">
        <v>59</v>
      </c>
      <c r="R7" s="6"/>
    </row>
    <row r="8" spans="1:18" ht="16" x14ac:dyDescent="0.2">
      <c r="A8" t="s">
        <v>60</v>
      </c>
      <c r="B8" t="s">
        <v>7</v>
      </c>
      <c r="C8" t="s">
        <v>57</v>
      </c>
      <c r="D8" s="6">
        <v>2009</v>
      </c>
      <c r="E8" s="8" t="s">
        <v>61</v>
      </c>
      <c r="F8" t="s">
        <v>17</v>
      </c>
      <c r="J8" s="6" t="s">
        <v>22</v>
      </c>
      <c r="M8" s="7"/>
      <c r="O8" t="s">
        <v>30</v>
      </c>
      <c r="P8" t="s">
        <v>31</v>
      </c>
      <c r="Q8" s="8" t="s">
        <v>62</v>
      </c>
      <c r="R8" s="6"/>
    </row>
    <row r="9" spans="1:18" ht="16" x14ac:dyDescent="0.2">
      <c r="A9" t="s">
        <v>63</v>
      </c>
      <c r="B9" t="s">
        <v>7</v>
      </c>
      <c r="C9" t="s">
        <v>64</v>
      </c>
      <c r="D9" s="6">
        <v>2018</v>
      </c>
      <c r="E9" s="8" t="s">
        <v>65</v>
      </c>
      <c r="F9" t="s">
        <v>13</v>
      </c>
      <c r="J9" s="6" t="s">
        <v>22</v>
      </c>
      <c r="M9" s="7"/>
      <c r="O9" t="s">
        <v>30</v>
      </c>
      <c r="P9" t="s">
        <v>31</v>
      </c>
      <c r="Q9" s="8" t="s">
        <v>66</v>
      </c>
      <c r="R9" s="6"/>
    </row>
    <row r="10" spans="1:18" ht="16" x14ac:dyDescent="0.2">
      <c r="A10" t="s">
        <v>67</v>
      </c>
      <c r="B10" t="s">
        <v>7</v>
      </c>
      <c r="C10" t="s">
        <v>68</v>
      </c>
      <c r="D10" s="6">
        <v>2013</v>
      </c>
      <c r="E10" s="8" t="s">
        <v>69</v>
      </c>
      <c r="F10" t="s">
        <v>13</v>
      </c>
      <c r="H10" s="9" t="s">
        <v>240</v>
      </c>
      <c r="I10">
        <v>46</v>
      </c>
      <c r="J10" s="6" t="s">
        <v>22</v>
      </c>
      <c r="M10" s="7"/>
      <c r="O10" t="s">
        <v>30</v>
      </c>
      <c r="P10" t="s">
        <v>31</v>
      </c>
      <c r="Q10" s="8" t="s">
        <v>70</v>
      </c>
      <c r="R10" s="6"/>
    </row>
    <row r="11" spans="1:18" ht="16" x14ac:dyDescent="0.2">
      <c r="A11" t="s">
        <v>71</v>
      </c>
      <c r="B11" t="s">
        <v>7</v>
      </c>
      <c r="C11" t="s">
        <v>72</v>
      </c>
      <c r="D11" s="6">
        <v>2021</v>
      </c>
      <c r="E11" s="8" t="s">
        <v>73</v>
      </c>
      <c r="F11" t="s">
        <v>13</v>
      </c>
      <c r="J11" s="6" t="s">
        <v>22</v>
      </c>
      <c r="M11" s="7"/>
      <c r="O11" t="s">
        <v>30</v>
      </c>
      <c r="P11" t="s">
        <v>31</v>
      </c>
      <c r="Q11" s="8" t="s">
        <v>74</v>
      </c>
      <c r="R11" s="6"/>
    </row>
    <row r="12" spans="1:18" ht="16" x14ac:dyDescent="0.2">
      <c r="A12" t="s">
        <v>75</v>
      </c>
      <c r="B12" t="s">
        <v>7</v>
      </c>
      <c r="C12" t="s">
        <v>76</v>
      </c>
      <c r="D12" s="6">
        <v>2016</v>
      </c>
      <c r="E12" s="8" t="s">
        <v>77</v>
      </c>
      <c r="F12" t="s">
        <v>13</v>
      </c>
      <c r="G12" t="s">
        <v>78</v>
      </c>
      <c r="H12" t="s">
        <v>242</v>
      </c>
      <c r="I12">
        <v>40</v>
      </c>
      <c r="J12" s="6" t="s">
        <v>22</v>
      </c>
      <c r="M12" s="7"/>
      <c r="O12" t="s">
        <v>30</v>
      </c>
      <c r="P12" t="s">
        <v>31</v>
      </c>
      <c r="Q12" s="8" t="s">
        <v>70</v>
      </c>
      <c r="R12" s="6"/>
    </row>
    <row r="13" spans="1:18" ht="16" x14ac:dyDescent="0.2">
      <c r="A13" t="s">
        <v>79</v>
      </c>
      <c r="B13" t="s">
        <v>7</v>
      </c>
      <c r="C13" t="s">
        <v>80</v>
      </c>
      <c r="D13" s="6">
        <v>2015</v>
      </c>
      <c r="E13" s="8" t="s">
        <v>81</v>
      </c>
      <c r="F13" t="s">
        <v>13</v>
      </c>
      <c r="H13" s="9" t="s">
        <v>261</v>
      </c>
      <c r="I13">
        <v>12</v>
      </c>
      <c r="J13" s="6" t="s">
        <v>22</v>
      </c>
      <c r="M13" s="7"/>
      <c r="O13" t="s">
        <v>30</v>
      </c>
      <c r="P13" t="s">
        <v>31</v>
      </c>
      <c r="Q13" s="8" t="s">
        <v>82</v>
      </c>
      <c r="R13" s="6"/>
    </row>
    <row r="14" spans="1:18" ht="16" x14ac:dyDescent="0.2">
      <c r="A14" t="s">
        <v>83</v>
      </c>
      <c r="B14" t="s">
        <v>7</v>
      </c>
      <c r="C14" t="s">
        <v>84</v>
      </c>
      <c r="D14" s="6">
        <v>2009</v>
      </c>
      <c r="E14" s="8" t="s">
        <v>85</v>
      </c>
      <c r="F14" t="s">
        <v>13</v>
      </c>
      <c r="H14" t="s">
        <v>260</v>
      </c>
      <c r="I14">
        <v>23</v>
      </c>
      <c r="J14" s="6" t="s">
        <v>22</v>
      </c>
      <c r="M14" s="7"/>
      <c r="O14" t="s">
        <v>30</v>
      </c>
      <c r="P14" t="s">
        <v>31</v>
      </c>
      <c r="Q14" s="8" t="s">
        <v>86</v>
      </c>
      <c r="R14" s="6"/>
    </row>
    <row r="15" spans="1:18" ht="16" x14ac:dyDescent="0.2">
      <c r="A15" t="s">
        <v>87</v>
      </c>
      <c r="B15" t="s">
        <v>7</v>
      </c>
      <c r="C15" t="s">
        <v>88</v>
      </c>
      <c r="D15" s="6">
        <v>2012</v>
      </c>
      <c r="E15" s="8" t="s">
        <v>89</v>
      </c>
      <c r="F15" t="s">
        <v>16</v>
      </c>
      <c r="J15" s="6" t="s">
        <v>22</v>
      </c>
      <c r="M15" s="7"/>
      <c r="O15" t="s">
        <v>30</v>
      </c>
      <c r="P15" t="s">
        <v>31</v>
      </c>
      <c r="Q15" s="8" t="s">
        <v>90</v>
      </c>
      <c r="R15" s="6"/>
    </row>
    <row r="16" spans="1:18" ht="16" x14ac:dyDescent="0.2">
      <c r="A16" t="s">
        <v>91</v>
      </c>
      <c r="B16" t="s">
        <v>7</v>
      </c>
      <c r="C16" t="s">
        <v>92</v>
      </c>
      <c r="D16" s="6">
        <v>2014</v>
      </c>
      <c r="E16" s="8" t="s">
        <v>93</v>
      </c>
      <c r="F16" t="s">
        <v>13</v>
      </c>
      <c r="J16" s="6" t="s">
        <v>22</v>
      </c>
      <c r="M16" s="7"/>
      <c r="O16" t="s">
        <v>30</v>
      </c>
      <c r="P16" t="s">
        <v>31</v>
      </c>
      <c r="Q16" s="8" t="s">
        <v>94</v>
      </c>
      <c r="R16" s="6"/>
    </row>
    <row r="17" spans="1:18" ht="16" x14ac:dyDescent="0.2">
      <c r="A17" t="s">
        <v>95</v>
      </c>
      <c r="B17" t="s">
        <v>7</v>
      </c>
      <c r="C17" t="s">
        <v>96</v>
      </c>
      <c r="D17" s="6">
        <v>2020</v>
      </c>
      <c r="E17" s="8" t="s">
        <v>97</v>
      </c>
      <c r="F17" t="s">
        <v>13</v>
      </c>
      <c r="G17" t="s">
        <v>98</v>
      </c>
      <c r="J17" s="6" t="s">
        <v>22</v>
      </c>
      <c r="M17" s="7"/>
      <c r="O17" t="s">
        <v>30</v>
      </c>
      <c r="P17" t="s">
        <v>31</v>
      </c>
      <c r="Q17" s="8" t="s">
        <v>99</v>
      </c>
      <c r="R17" s="6"/>
    </row>
    <row r="18" spans="1:18" ht="16" x14ac:dyDescent="0.2">
      <c r="A18" t="s">
        <v>100</v>
      </c>
      <c r="B18" t="s">
        <v>8</v>
      </c>
      <c r="C18" t="s">
        <v>101</v>
      </c>
      <c r="D18" s="6">
        <v>2010</v>
      </c>
      <c r="E18" s="8" t="s">
        <v>102</v>
      </c>
      <c r="F18" t="s">
        <v>13</v>
      </c>
      <c r="G18" t="s">
        <v>78</v>
      </c>
      <c r="J18" s="6" t="s">
        <v>22</v>
      </c>
      <c r="M18" s="7"/>
      <c r="O18" t="s">
        <v>30</v>
      </c>
      <c r="P18" t="s">
        <v>31</v>
      </c>
      <c r="Q18" s="8" t="s">
        <v>103</v>
      </c>
      <c r="R18" s="6"/>
    </row>
    <row r="19" spans="1:18" ht="16" x14ac:dyDescent="0.2">
      <c r="A19" t="s">
        <v>104</v>
      </c>
      <c r="B19" t="s">
        <v>8</v>
      </c>
      <c r="C19" t="s">
        <v>105</v>
      </c>
      <c r="D19" s="6">
        <v>2018</v>
      </c>
      <c r="E19" s="8" t="s">
        <v>106</v>
      </c>
      <c r="F19" t="s">
        <v>13</v>
      </c>
      <c r="G19" t="s">
        <v>78</v>
      </c>
      <c r="J19" s="6" t="s">
        <v>22</v>
      </c>
      <c r="M19" s="7"/>
      <c r="O19" t="s">
        <v>30</v>
      </c>
      <c r="P19" t="s">
        <v>31</v>
      </c>
      <c r="Q19" s="8" t="s">
        <v>107</v>
      </c>
      <c r="R19" s="6"/>
    </row>
    <row r="20" spans="1:18" ht="16" x14ac:dyDescent="0.2">
      <c r="A20" t="s">
        <v>108</v>
      </c>
      <c r="B20" t="s">
        <v>8</v>
      </c>
      <c r="C20" t="s">
        <v>109</v>
      </c>
      <c r="D20" s="6">
        <v>2017</v>
      </c>
      <c r="E20" s="8" t="s">
        <v>110</v>
      </c>
      <c r="F20" t="s">
        <v>13</v>
      </c>
      <c r="J20" s="6" t="s">
        <v>22</v>
      </c>
      <c r="M20" s="7"/>
      <c r="O20" t="s">
        <v>30</v>
      </c>
      <c r="P20" t="s">
        <v>31</v>
      </c>
      <c r="Q20" s="8" t="s">
        <v>111</v>
      </c>
      <c r="R20" s="6"/>
    </row>
    <row r="21" spans="1:18" ht="32" x14ac:dyDescent="0.2">
      <c r="A21" t="s">
        <v>112</v>
      </c>
      <c r="B21" s="11" t="s">
        <v>8</v>
      </c>
      <c r="C21" t="s">
        <v>113</v>
      </c>
      <c r="D21" s="6">
        <v>2020</v>
      </c>
      <c r="E21" s="8" t="s">
        <v>114</v>
      </c>
      <c r="F21" t="s">
        <v>13</v>
      </c>
      <c r="G21" t="s">
        <v>312</v>
      </c>
      <c r="H21" t="s">
        <v>316</v>
      </c>
      <c r="I21">
        <v>15</v>
      </c>
      <c r="J21" s="6" t="s">
        <v>22</v>
      </c>
      <c r="M21" s="7"/>
      <c r="O21" t="s">
        <v>30</v>
      </c>
      <c r="P21" t="s">
        <v>31</v>
      </c>
      <c r="Q21" s="8" t="s">
        <v>115</v>
      </c>
      <c r="R21" s="6"/>
    </row>
    <row r="22" spans="1:18" ht="16" x14ac:dyDescent="0.2">
      <c r="A22" t="s">
        <v>116</v>
      </c>
      <c r="B22" t="s">
        <v>8</v>
      </c>
      <c r="C22" t="s">
        <v>117</v>
      </c>
      <c r="D22" s="6">
        <v>2016</v>
      </c>
      <c r="E22" s="8" t="s">
        <v>118</v>
      </c>
      <c r="F22" t="s">
        <v>14</v>
      </c>
      <c r="H22" t="s">
        <v>119</v>
      </c>
      <c r="J22" s="6" t="s">
        <v>22</v>
      </c>
      <c r="M22" s="7"/>
      <c r="O22" t="s">
        <v>30</v>
      </c>
      <c r="P22" t="s">
        <v>31</v>
      </c>
      <c r="Q22" s="8" t="s">
        <v>120</v>
      </c>
      <c r="R22" s="6"/>
    </row>
    <row r="23" spans="1:18" ht="16" x14ac:dyDescent="0.2">
      <c r="A23" t="s">
        <v>121</v>
      </c>
      <c r="B23" t="s">
        <v>9</v>
      </c>
      <c r="C23" t="s">
        <v>122</v>
      </c>
      <c r="D23" s="6">
        <v>2010</v>
      </c>
      <c r="E23" s="8" t="s">
        <v>123</v>
      </c>
      <c r="F23" t="s">
        <v>14</v>
      </c>
      <c r="H23" t="s">
        <v>124</v>
      </c>
      <c r="J23" s="6" t="s">
        <v>22</v>
      </c>
      <c r="M23" s="7"/>
      <c r="O23" t="s">
        <v>30</v>
      </c>
      <c r="P23" t="s">
        <v>31</v>
      </c>
      <c r="Q23" s="8" t="s">
        <v>125</v>
      </c>
      <c r="R23" s="6"/>
    </row>
    <row r="24" spans="1:18" ht="16" x14ac:dyDescent="0.2">
      <c r="A24" t="s">
        <v>126</v>
      </c>
      <c r="B24" t="s">
        <v>9</v>
      </c>
      <c r="C24" t="s">
        <v>127</v>
      </c>
      <c r="D24" s="6">
        <v>2019</v>
      </c>
      <c r="E24" s="8" t="s">
        <v>128</v>
      </c>
      <c r="F24" t="s">
        <v>14</v>
      </c>
      <c r="H24" t="s">
        <v>129</v>
      </c>
      <c r="J24" s="6" t="s">
        <v>21</v>
      </c>
      <c r="M24" s="7"/>
      <c r="O24" t="s">
        <v>30</v>
      </c>
      <c r="P24" t="s">
        <v>35</v>
      </c>
      <c r="Q24" s="8" t="s">
        <v>130</v>
      </c>
      <c r="R24" s="6"/>
    </row>
    <row r="25" spans="1:18" ht="16" x14ac:dyDescent="0.2">
      <c r="A25" t="s">
        <v>131</v>
      </c>
      <c r="B25" t="s">
        <v>9</v>
      </c>
      <c r="C25" t="s">
        <v>132</v>
      </c>
      <c r="D25" s="6">
        <v>2019</v>
      </c>
      <c r="E25" s="8" t="s">
        <v>133</v>
      </c>
      <c r="F25" t="s">
        <v>14</v>
      </c>
      <c r="H25" t="s">
        <v>134</v>
      </c>
      <c r="J25" s="6" t="s">
        <v>22</v>
      </c>
      <c r="M25" s="7"/>
      <c r="O25" t="s">
        <v>30</v>
      </c>
      <c r="P25" t="s">
        <v>31</v>
      </c>
      <c r="Q25" s="8" t="s">
        <v>135</v>
      </c>
      <c r="R25" s="6"/>
    </row>
    <row r="26" spans="1:18" ht="16" x14ac:dyDescent="0.2">
      <c r="A26" t="s">
        <v>136</v>
      </c>
      <c r="B26" t="s">
        <v>9</v>
      </c>
      <c r="C26" t="s">
        <v>137</v>
      </c>
      <c r="D26" s="6">
        <v>2019</v>
      </c>
      <c r="E26" s="8" t="s">
        <v>138</v>
      </c>
      <c r="F26" t="s">
        <v>13</v>
      </c>
      <c r="G26" t="s">
        <v>98</v>
      </c>
      <c r="J26" s="6" t="s">
        <v>22</v>
      </c>
      <c r="M26" s="7"/>
      <c r="O26" t="s">
        <v>30</v>
      </c>
      <c r="P26" t="s">
        <v>31</v>
      </c>
      <c r="Q26" s="8" t="s">
        <v>139</v>
      </c>
      <c r="R26" s="6"/>
    </row>
    <row r="27" spans="1:18" ht="16" x14ac:dyDescent="0.2">
      <c r="A27" t="s">
        <v>140</v>
      </c>
      <c r="B27" t="s">
        <v>9</v>
      </c>
      <c r="C27" t="s">
        <v>52</v>
      </c>
      <c r="D27" s="6">
        <v>2012</v>
      </c>
      <c r="E27" s="8" t="s">
        <v>141</v>
      </c>
      <c r="F27" t="s">
        <v>13</v>
      </c>
      <c r="J27" s="6" t="s">
        <v>22</v>
      </c>
      <c r="M27" s="7"/>
      <c r="O27" t="s">
        <v>30</v>
      </c>
      <c r="P27" t="s">
        <v>31</v>
      </c>
      <c r="Q27" s="8" t="s">
        <v>142</v>
      </c>
      <c r="R27" s="6"/>
    </row>
    <row r="28" spans="1:18" ht="16" x14ac:dyDescent="0.2">
      <c r="A28" t="s">
        <v>143</v>
      </c>
      <c r="B28" t="s">
        <v>9</v>
      </c>
      <c r="C28" t="s">
        <v>144</v>
      </c>
      <c r="D28" s="6">
        <v>2010</v>
      </c>
      <c r="E28" s="8" t="s">
        <v>145</v>
      </c>
      <c r="F28" t="s">
        <v>14</v>
      </c>
      <c r="H28" t="s">
        <v>146</v>
      </c>
      <c r="I28">
        <v>14</v>
      </c>
      <c r="J28" s="6" t="s">
        <v>22</v>
      </c>
      <c r="M28" s="7"/>
      <c r="O28" t="s">
        <v>30</v>
      </c>
      <c r="P28" t="s">
        <v>31</v>
      </c>
      <c r="Q28" s="8" t="s">
        <v>147</v>
      </c>
      <c r="R28" s="6"/>
    </row>
    <row r="29" spans="1:18" ht="16" x14ac:dyDescent="0.2">
      <c r="A29" t="s">
        <v>148</v>
      </c>
      <c r="B29" t="s">
        <v>10</v>
      </c>
      <c r="C29" t="s">
        <v>149</v>
      </c>
      <c r="D29" s="6">
        <v>2010</v>
      </c>
      <c r="E29" s="8" t="s">
        <v>150</v>
      </c>
      <c r="F29" t="s">
        <v>13</v>
      </c>
      <c r="J29" s="6" t="s">
        <v>22</v>
      </c>
      <c r="M29" s="7"/>
      <c r="O29" t="s">
        <v>30</v>
      </c>
      <c r="P29" t="s">
        <v>31</v>
      </c>
      <c r="Q29" s="8" t="s">
        <v>151</v>
      </c>
      <c r="R29" s="6"/>
    </row>
    <row r="30" spans="1:18" ht="16" x14ac:dyDescent="0.2">
      <c r="A30" t="s">
        <v>152</v>
      </c>
      <c r="B30" t="s">
        <v>10</v>
      </c>
      <c r="C30" t="s">
        <v>153</v>
      </c>
      <c r="D30" s="6">
        <v>2021</v>
      </c>
      <c r="E30" s="8" t="s">
        <v>154</v>
      </c>
      <c r="F30" t="s">
        <v>14</v>
      </c>
      <c r="H30" t="s">
        <v>155</v>
      </c>
      <c r="J30" s="6" t="s">
        <v>22</v>
      </c>
      <c r="M30" s="7"/>
      <c r="O30" t="s">
        <v>30</v>
      </c>
      <c r="P30" t="s">
        <v>31</v>
      </c>
      <c r="Q30" s="8" t="s">
        <v>156</v>
      </c>
      <c r="R30" s="6"/>
    </row>
    <row r="31" spans="1:18" ht="16" x14ac:dyDescent="0.2">
      <c r="A31" t="s">
        <v>157</v>
      </c>
      <c r="B31" s="11" t="s">
        <v>10</v>
      </c>
      <c r="C31" t="s">
        <v>158</v>
      </c>
      <c r="D31" s="6">
        <v>2021</v>
      </c>
      <c r="E31" s="8" t="s">
        <v>159</v>
      </c>
      <c r="F31" t="s">
        <v>14</v>
      </c>
      <c r="H31" t="s">
        <v>160</v>
      </c>
      <c r="I31">
        <v>11</v>
      </c>
      <c r="J31" s="6" t="s">
        <v>22</v>
      </c>
      <c r="M31" s="7"/>
      <c r="O31" t="s">
        <v>30</v>
      </c>
      <c r="P31" t="s">
        <v>31</v>
      </c>
      <c r="Q31" s="8" t="s">
        <v>156</v>
      </c>
      <c r="R31" s="6"/>
    </row>
    <row r="32" spans="1:18" ht="16" x14ac:dyDescent="0.2">
      <c r="A32" t="s">
        <v>161</v>
      </c>
      <c r="B32" t="s">
        <v>10</v>
      </c>
      <c r="C32" t="s">
        <v>162</v>
      </c>
      <c r="D32" s="6">
        <v>2021</v>
      </c>
      <c r="E32" s="8" t="s">
        <v>163</v>
      </c>
      <c r="F32" t="s">
        <v>14</v>
      </c>
      <c r="H32" t="s">
        <v>164</v>
      </c>
      <c r="J32" s="6" t="s">
        <v>22</v>
      </c>
      <c r="M32" s="7"/>
      <c r="O32" t="s">
        <v>30</v>
      </c>
      <c r="P32" t="s">
        <v>31</v>
      </c>
      <c r="Q32" s="8" t="s">
        <v>156</v>
      </c>
      <c r="R32" s="6"/>
    </row>
    <row r="33" spans="1:18" ht="16" x14ac:dyDescent="0.2">
      <c r="A33" t="s">
        <v>165</v>
      </c>
      <c r="B33" t="s">
        <v>10</v>
      </c>
      <c r="C33" t="s">
        <v>166</v>
      </c>
      <c r="D33" s="6">
        <v>2010</v>
      </c>
      <c r="E33" s="8" t="s">
        <v>167</v>
      </c>
      <c r="F33" t="s">
        <v>17</v>
      </c>
      <c r="J33" s="6" t="s">
        <v>22</v>
      </c>
      <c r="M33" s="7"/>
      <c r="O33" t="s">
        <v>30</v>
      </c>
      <c r="P33" t="s">
        <v>31</v>
      </c>
      <c r="Q33" s="8" t="s">
        <v>168</v>
      </c>
      <c r="R33" s="6"/>
    </row>
    <row r="34" spans="1:18" ht="32" x14ac:dyDescent="0.2">
      <c r="A34" t="s">
        <v>169</v>
      </c>
      <c r="B34" t="s">
        <v>10</v>
      </c>
      <c r="C34" t="s">
        <v>170</v>
      </c>
      <c r="D34" s="6">
        <v>2021</v>
      </c>
      <c r="E34" s="8" t="s">
        <v>171</v>
      </c>
      <c r="F34" t="s">
        <v>13</v>
      </c>
      <c r="G34" t="s">
        <v>78</v>
      </c>
      <c r="J34" s="6" t="s">
        <v>21</v>
      </c>
      <c r="M34" s="7"/>
      <c r="O34" t="s">
        <v>30</v>
      </c>
      <c r="P34" t="s">
        <v>32</v>
      </c>
      <c r="Q34" s="8" t="s">
        <v>172</v>
      </c>
      <c r="R34" s="6"/>
    </row>
    <row r="35" spans="1:18" ht="16" x14ac:dyDescent="0.2">
      <c r="A35" t="s">
        <v>173</v>
      </c>
      <c r="B35" t="s">
        <v>11</v>
      </c>
      <c r="C35" t="s">
        <v>174</v>
      </c>
      <c r="D35" s="6">
        <v>2021</v>
      </c>
      <c r="E35" s="8" t="s">
        <v>175</v>
      </c>
      <c r="F35" t="s">
        <v>13</v>
      </c>
      <c r="G35" t="s">
        <v>98</v>
      </c>
      <c r="J35" s="6" t="s">
        <v>22</v>
      </c>
      <c r="M35" s="7"/>
      <c r="O35" t="s">
        <v>30</v>
      </c>
      <c r="P35" t="s">
        <v>31</v>
      </c>
      <c r="Q35" s="8" t="s">
        <v>176</v>
      </c>
      <c r="R35" s="6"/>
    </row>
    <row r="36" spans="1:18" ht="16" x14ac:dyDescent="0.2">
      <c r="A36" t="s">
        <v>177</v>
      </c>
      <c r="B36" t="s">
        <v>11</v>
      </c>
      <c r="C36" t="s">
        <v>174</v>
      </c>
      <c r="D36" s="6">
        <v>2020</v>
      </c>
      <c r="E36" s="8" t="s">
        <v>178</v>
      </c>
      <c r="F36" t="s">
        <v>13</v>
      </c>
      <c r="J36" s="6" t="s">
        <v>22</v>
      </c>
      <c r="M36" s="7"/>
      <c r="O36" t="s">
        <v>30</v>
      </c>
      <c r="P36" t="s">
        <v>31</v>
      </c>
      <c r="Q36" s="8" t="s">
        <v>179</v>
      </c>
      <c r="R36" s="6"/>
    </row>
    <row r="37" spans="1:18" ht="32" x14ac:dyDescent="0.2">
      <c r="A37" t="s">
        <v>180</v>
      </c>
      <c r="B37" t="s">
        <v>11</v>
      </c>
      <c r="C37" t="s">
        <v>181</v>
      </c>
      <c r="D37" s="6">
        <v>2021</v>
      </c>
      <c r="E37" s="8" t="s">
        <v>182</v>
      </c>
      <c r="F37" t="s">
        <v>17</v>
      </c>
      <c r="J37" s="6" t="s">
        <v>22</v>
      </c>
      <c r="M37" s="7"/>
      <c r="O37" t="s">
        <v>30</v>
      </c>
      <c r="P37" t="s">
        <v>31</v>
      </c>
      <c r="Q37" s="8" t="s">
        <v>183</v>
      </c>
      <c r="R37" s="6"/>
    </row>
    <row r="38" spans="1:18" ht="16" x14ac:dyDescent="0.2">
      <c r="A38" t="s">
        <v>184</v>
      </c>
      <c r="B38" t="s">
        <v>11</v>
      </c>
      <c r="C38" t="s">
        <v>185</v>
      </c>
      <c r="D38" s="6">
        <v>2021</v>
      </c>
      <c r="E38" s="8" t="s">
        <v>186</v>
      </c>
      <c r="F38" t="s">
        <v>13</v>
      </c>
      <c r="J38" s="6" t="s">
        <v>22</v>
      </c>
      <c r="M38" s="7"/>
      <c r="O38" t="s">
        <v>30</v>
      </c>
      <c r="P38" t="s">
        <v>31</v>
      </c>
      <c r="Q38" s="8" t="s">
        <v>179</v>
      </c>
      <c r="R38" s="6"/>
    </row>
    <row r="39" spans="1:18" ht="16" x14ac:dyDescent="0.2">
      <c r="A39" t="s">
        <v>187</v>
      </c>
      <c r="B39" t="s">
        <v>11</v>
      </c>
      <c r="C39" t="s">
        <v>188</v>
      </c>
      <c r="D39" s="6">
        <v>2019</v>
      </c>
      <c r="E39" s="8" t="s">
        <v>189</v>
      </c>
      <c r="F39" t="s">
        <v>14</v>
      </c>
      <c r="H39" t="s">
        <v>190</v>
      </c>
      <c r="J39" s="6" t="s">
        <v>21</v>
      </c>
      <c r="M39" s="7"/>
      <c r="O39" t="s">
        <v>30</v>
      </c>
      <c r="P39" t="s">
        <v>35</v>
      </c>
      <c r="Q39" s="8" t="s">
        <v>191</v>
      </c>
      <c r="R39" s="6"/>
    </row>
    <row r="40" spans="1:18" ht="16" x14ac:dyDescent="0.2">
      <c r="A40" t="s">
        <v>192</v>
      </c>
      <c r="B40" t="s">
        <v>12</v>
      </c>
      <c r="C40" t="s">
        <v>193</v>
      </c>
      <c r="D40" s="6">
        <v>2022</v>
      </c>
      <c r="E40" s="8" t="s">
        <v>194</v>
      </c>
      <c r="F40" t="s">
        <v>18</v>
      </c>
      <c r="J40" s="6" t="s">
        <v>22</v>
      </c>
      <c r="M40" s="7"/>
      <c r="O40" t="s">
        <v>30</v>
      </c>
      <c r="P40" t="s">
        <v>31</v>
      </c>
      <c r="Q40" s="8" t="s">
        <v>195</v>
      </c>
      <c r="R40" s="6"/>
    </row>
    <row r="41" spans="1:18" ht="16" x14ac:dyDescent="0.2">
      <c r="A41" t="s">
        <v>196</v>
      </c>
      <c r="B41" t="s">
        <v>12</v>
      </c>
      <c r="C41" t="s">
        <v>197</v>
      </c>
      <c r="D41" s="6">
        <v>2023</v>
      </c>
      <c r="E41" s="8" t="s">
        <v>198</v>
      </c>
      <c r="F41" t="s">
        <v>18</v>
      </c>
      <c r="J41" s="6" t="s">
        <v>22</v>
      </c>
      <c r="M41" s="7"/>
      <c r="O41" t="s">
        <v>30</v>
      </c>
      <c r="P41" t="s">
        <v>31</v>
      </c>
      <c r="Q41" s="8" t="s">
        <v>199</v>
      </c>
      <c r="R41" s="6"/>
    </row>
    <row r="42" spans="1:18" ht="16" x14ac:dyDescent="0.2">
      <c r="A42" t="s">
        <v>200</v>
      </c>
      <c r="B42" t="s">
        <v>12</v>
      </c>
      <c r="C42" t="s">
        <v>201</v>
      </c>
      <c r="D42" s="6">
        <v>2014</v>
      </c>
      <c r="E42" s="8" t="s">
        <v>202</v>
      </c>
      <c r="F42" t="s">
        <v>13</v>
      </c>
      <c r="J42" s="6" t="s">
        <v>22</v>
      </c>
      <c r="M42" s="7"/>
      <c r="O42" t="s">
        <v>30</v>
      </c>
      <c r="P42" t="s">
        <v>31</v>
      </c>
      <c r="Q42" s="8" t="s">
        <v>203</v>
      </c>
      <c r="R42" s="6"/>
    </row>
    <row r="43" spans="1:18" ht="16" x14ac:dyDescent="0.2">
      <c r="A43" t="s">
        <v>204</v>
      </c>
      <c r="B43" t="s">
        <v>12</v>
      </c>
      <c r="C43" t="s">
        <v>205</v>
      </c>
      <c r="D43" s="6">
        <v>2025</v>
      </c>
      <c r="E43" s="8" t="s">
        <v>206</v>
      </c>
      <c r="F43" t="s">
        <v>15</v>
      </c>
      <c r="I43" t="s">
        <v>262</v>
      </c>
      <c r="J43" s="6" t="s">
        <v>22</v>
      </c>
      <c r="M43" s="7"/>
      <c r="O43" t="s">
        <v>30</v>
      </c>
      <c r="P43" t="s">
        <v>31</v>
      </c>
      <c r="Q43" s="8" t="s">
        <v>207</v>
      </c>
      <c r="R43" s="6"/>
    </row>
    <row r="44" spans="1:18" ht="16" x14ac:dyDescent="0.2">
      <c r="A44" t="s">
        <v>208</v>
      </c>
      <c r="B44" t="s">
        <v>12</v>
      </c>
      <c r="C44" t="s">
        <v>57</v>
      </c>
      <c r="D44" s="6">
        <v>2011</v>
      </c>
      <c r="E44" s="8" t="s">
        <v>209</v>
      </c>
      <c r="F44" t="s">
        <v>16</v>
      </c>
      <c r="I44">
        <v>2</v>
      </c>
      <c r="J44" s="6" t="s">
        <v>22</v>
      </c>
      <c r="M44" s="7"/>
      <c r="O44" t="s">
        <v>30</v>
      </c>
      <c r="P44" t="s">
        <v>31</v>
      </c>
      <c r="Q44" s="8" t="s">
        <v>210</v>
      </c>
      <c r="R44" s="6"/>
    </row>
    <row r="45" spans="1:18" ht="16" x14ac:dyDescent="0.2">
      <c r="A45" t="s">
        <v>211</v>
      </c>
      <c r="B45" t="s">
        <v>12</v>
      </c>
      <c r="C45" t="s">
        <v>212</v>
      </c>
      <c r="D45" s="6">
        <v>2023</v>
      </c>
      <c r="E45" s="8" t="s">
        <v>213</v>
      </c>
      <c r="F45" t="s">
        <v>16</v>
      </c>
      <c r="I45">
        <v>4</v>
      </c>
      <c r="J45" s="6" t="s">
        <v>22</v>
      </c>
      <c r="M45" s="7"/>
      <c r="O45" t="s">
        <v>30</v>
      </c>
      <c r="P45" t="s">
        <v>31</v>
      </c>
      <c r="Q45" s="8" t="s">
        <v>214</v>
      </c>
      <c r="R45" s="6"/>
    </row>
    <row r="46" spans="1:18" ht="16" x14ac:dyDescent="0.2">
      <c r="A46" t="s">
        <v>215</v>
      </c>
      <c r="B46" t="s">
        <v>12</v>
      </c>
      <c r="C46" t="s">
        <v>216</v>
      </c>
      <c r="D46" s="6">
        <v>2025</v>
      </c>
      <c r="E46" s="8" t="s">
        <v>217</v>
      </c>
      <c r="F46" t="s">
        <v>16</v>
      </c>
      <c r="J46" s="6" t="s">
        <v>22</v>
      </c>
      <c r="M46" s="7"/>
      <c r="O46" t="s">
        <v>30</v>
      </c>
      <c r="P46" t="s">
        <v>31</v>
      </c>
      <c r="Q46" s="8" t="s">
        <v>218</v>
      </c>
      <c r="R46" s="6"/>
    </row>
    <row r="47" spans="1:18" ht="16" x14ac:dyDescent="0.2">
      <c r="A47" t="s">
        <v>219</v>
      </c>
      <c r="B47" t="s">
        <v>7</v>
      </c>
      <c r="C47" t="s">
        <v>220</v>
      </c>
      <c r="D47" s="6">
        <v>2020</v>
      </c>
      <c r="E47" s="8" t="s">
        <v>221</v>
      </c>
      <c r="F47" t="s">
        <v>15</v>
      </c>
      <c r="H47" t="s">
        <v>222</v>
      </c>
      <c r="J47" s="6" t="s">
        <v>22</v>
      </c>
      <c r="M47" s="7"/>
      <c r="O47" t="s">
        <v>30</v>
      </c>
      <c r="P47" t="s">
        <v>31</v>
      </c>
      <c r="Q47" s="8" t="s">
        <v>223</v>
      </c>
      <c r="R47" s="6"/>
    </row>
    <row r="48" spans="1:18" ht="16" x14ac:dyDescent="0.2">
      <c r="A48" t="s">
        <v>224</v>
      </c>
      <c r="B48" t="s">
        <v>7</v>
      </c>
      <c r="C48" t="s">
        <v>225</v>
      </c>
      <c r="D48" s="6">
        <v>2020</v>
      </c>
      <c r="E48" s="8" t="s">
        <v>226</v>
      </c>
      <c r="F48" t="s">
        <v>15</v>
      </c>
      <c r="H48" t="s">
        <v>227</v>
      </c>
      <c r="J48" s="6" t="s">
        <v>22</v>
      </c>
      <c r="M48" s="7"/>
      <c r="O48" t="s">
        <v>30</v>
      </c>
      <c r="P48" t="s">
        <v>31</v>
      </c>
      <c r="Q48" s="8" t="s">
        <v>228</v>
      </c>
      <c r="R48" s="6"/>
    </row>
    <row r="49" spans="1:18" ht="16" x14ac:dyDescent="0.2">
      <c r="A49" t="s">
        <v>229</v>
      </c>
      <c r="B49" t="s">
        <v>7</v>
      </c>
      <c r="C49" t="s">
        <v>230</v>
      </c>
      <c r="D49" s="6">
        <v>2021</v>
      </c>
      <c r="E49" s="8" t="s">
        <v>231</v>
      </c>
      <c r="F49" t="s">
        <v>15</v>
      </c>
      <c r="H49" t="s">
        <v>232</v>
      </c>
      <c r="J49" s="6" t="s">
        <v>22</v>
      </c>
      <c r="M49" s="7"/>
      <c r="O49" t="s">
        <v>30</v>
      </c>
      <c r="P49" t="s">
        <v>31</v>
      </c>
      <c r="Q49" s="8" t="s">
        <v>233</v>
      </c>
      <c r="R49" s="6"/>
    </row>
    <row r="50" spans="1:18" ht="16" x14ac:dyDescent="0.2">
      <c r="A50" t="s">
        <v>234</v>
      </c>
      <c r="B50" t="s">
        <v>7</v>
      </c>
      <c r="C50" t="s">
        <v>235</v>
      </c>
      <c r="D50" s="6">
        <v>2025</v>
      </c>
      <c r="E50" s="8" t="s">
        <v>236</v>
      </c>
      <c r="F50" t="s">
        <v>15</v>
      </c>
      <c r="J50" s="6" t="s">
        <v>22</v>
      </c>
      <c r="M50" s="7"/>
      <c r="O50" t="s">
        <v>30</v>
      </c>
      <c r="P50" t="s">
        <v>31</v>
      </c>
      <c r="Q50" s="8" t="s">
        <v>237</v>
      </c>
      <c r="R50" s="6"/>
    </row>
    <row r="51" spans="1:18" ht="16" x14ac:dyDescent="0.2">
      <c r="A51" s="11" t="s">
        <v>91</v>
      </c>
      <c r="B51" t="s">
        <v>7</v>
      </c>
      <c r="C51" t="s">
        <v>243</v>
      </c>
      <c r="D51" s="6">
        <v>2014</v>
      </c>
      <c r="E51" s="8" t="s">
        <v>93</v>
      </c>
      <c r="F51" t="s">
        <v>13</v>
      </c>
      <c r="G51" t="s">
        <v>244</v>
      </c>
      <c r="H51" t="s">
        <v>245</v>
      </c>
      <c r="I51">
        <v>8</v>
      </c>
      <c r="J51" s="6"/>
      <c r="M51" s="10"/>
      <c r="Q51" s="8"/>
      <c r="R51" s="6"/>
    </row>
    <row r="52" spans="1:18" ht="16" x14ac:dyDescent="0.2">
      <c r="A52" s="11" t="s">
        <v>91</v>
      </c>
      <c r="B52" t="s">
        <v>7</v>
      </c>
      <c r="C52" t="s">
        <v>247</v>
      </c>
      <c r="D52" s="6">
        <v>2014</v>
      </c>
      <c r="E52" s="8" t="s">
        <v>246</v>
      </c>
      <c r="F52" t="s">
        <v>13</v>
      </c>
      <c r="H52" t="s">
        <v>248</v>
      </c>
      <c r="I52">
        <v>8</v>
      </c>
      <c r="J52" s="6"/>
      <c r="M52" s="10"/>
      <c r="Q52" s="8"/>
      <c r="R52" s="6"/>
    </row>
    <row r="53" spans="1:18" ht="16" x14ac:dyDescent="0.2">
      <c r="A53" s="11" t="s">
        <v>91</v>
      </c>
      <c r="B53" t="s">
        <v>7</v>
      </c>
      <c r="C53" t="s">
        <v>52</v>
      </c>
      <c r="D53" s="6">
        <v>2014</v>
      </c>
      <c r="E53" s="8" t="s">
        <v>249</v>
      </c>
      <c r="F53" t="s">
        <v>13</v>
      </c>
      <c r="H53" t="s">
        <v>250</v>
      </c>
      <c r="I53">
        <v>8</v>
      </c>
      <c r="J53" s="6"/>
      <c r="M53" s="10"/>
      <c r="Q53" s="8"/>
      <c r="R53" s="6"/>
    </row>
    <row r="54" spans="1:18" ht="32" x14ac:dyDescent="0.2">
      <c r="A54" s="11" t="s">
        <v>91</v>
      </c>
      <c r="B54" t="s">
        <v>8</v>
      </c>
      <c r="C54" t="s">
        <v>251</v>
      </c>
      <c r="D54" s="6">
        <v>2014</v>
      </c>
      <c r="E54" s="8" t="s">
        <v>252</v>
      </c>
      <c r="F54" t="s">
        <v>13</v>
      </c>
      <c r="H54" t="s">
        <v>253</v>
      </c>
      <c r="I54">
        <v>8</v>
      </c>
      <c r="J54" s="6"/>
      <c r="M54" s="10"/>
      <c r="Q54" s="8"/>
      <c r="R54" s="6"/>
    </row>
    <row r="55" spans="1:18" ht="32" x14ac:dyDescent="0.2">
      <c r="A55" s="11" t="s">
        <v>91</v>
      </c>
      <c r="C55" t="s">
        <v>254</v>
      </c>
      <c r="D55" s="6">
        <v>2014</v>
      </c>
      <c r="E55" s="8" t="s">
        <v>255</v>
      </c>
      <c r="F55" t="s">
        <v>13</v>
      </c>
      <c r="H55" t="s">
        <v>256</v>
      </c>
      <c r="I55">
        <v>10</v>
      </c>
      <c r="J55" s="6"/>
      <c r="M55" s="10"/>
      <c r="Q55" s="8"/>
      <c r="R55" s="6"/>
    </row>
    <row r="56" spans="1:18" ht="32" x14ac:dyDescent="0.2">
      <c r="A56" s="11" t="s">
        <v>91</v>
      </c>
      <c r="B56" t="s">
        <v>8</v>
      </c>
      <c r="C56" t="s">
        <v>257</v>
      </c>
      <c r="D56" s="6">
        <v>2014</v>
      </c>
      <c r="E56" s="8" t="s">
        <v>258</v>
      </c>
      <c r="F56" t="s">
        <v>13</v>
      </c>
      <c r="H56" t="s">
        <v>259</v>
      </c>
      <c r="I56">
        <v>8</v>
      </c>
      <c r="J56" s="6"/>
      <c r="M56" s="10"/>
      <c r="Q56" s="8"/>
      <c r="R56" s="6"/>
    </row>
    <row r="57" spans="1:18" ht="32" x14ac:dyDescent="0.2">
      <c r="A57" s="11" t="s">
        <v>263</v>
      </c>
      <c r="B57" t="s">
        <v>7</v>
      </c>
      <c r="C57" t="s">
        <v>264</v>
      </c>
      <c r="D57" s="6">
        <v>2021</v>
      </c>
      <c r="E57" s="8" t="s">
        <v>265</v>
      </c>
      <c r="F57" t="s">
        <v>14</v>
      </c>
      <c r="G57" t="s">
        <v>244</v>
      </c>
      <c r="H57" t="s">
        <v>266</v>
      </c>
      <c r="I57">
        <v>9</v>
      </c>
      <c r="J57" s="6"/>
      <c r="M57" s="10"/>
      <c r="Q57" s="8"/>
      <c r="R57" s="6"/>
    </row>
    <row r="58" spans="1:18" ht="16" x14ac:dyDescent="0.2">
      <c r="A58" s="11" t="s">
        <v>267</v>
      </c>
      <c r="B58" s="11" t="s">
        <v>7</v>
      </c>
      <c r="C58" t="s">
        <v>268</v>
      </c>
      <c r="D58" s="6">
        <v>2021</v>
      </c>
      <c r="E58" s="8" t="s">
        <v>269</v>
      </c>
      <c r="F58" t="s">
        <v>14</v>
      </c>
      <c r="G58" t="s">
        <v>244</v>
      </c>
      <c r="H58" t="s">
        <v>270</v>
      </c>
      <c r="I58">
        <v>12</v>
      </c>
      <c r="J58" s="6"/>
      <c r="M58" s="10"/>
      <c r="Q58" s="8"/>
      <c r="R58" s="6"/>
    </row>
    <row r="59" spans="1:18" ht="32" x14ac:dyDescent="0.2">
      <c r="A59" s="11" t="s">
        <v>271</v>
      </c>
      <c r="B59" s="11" t="s">
        <v>9</v>
      </c>
      <c r="C59" t="s">
        <v>272</v>
      </c>
      <c r="D59" s="6">
        <v>2021</v>
      </c>
      <c r="E59" s="8" t="s">
        <v>273</v>
      </c>
      <c r="F59" t="s">
        <v>14</v>
      </c>
      <c r="G59" t="s">
        <v>244</v>
      </c>
      <c r="H59" t="s">
        <v>274</v>
      </c>
      <c r="I59">
        <v>8</v>
      </c>
      <c r="J59" s="6"/>
      <c r="M59" s="10"/>
      <c r="Q59" s="8"/>
      <c r="R59" s="6"/>
    </row>
    <row r="60" spans="1:18" ht="32" x14ac:dyDescent="0.2">
      <c r="A60" s="11" t="s">
        <v>275</v>
      </c>
      <c r="B60" s="11" t="s">
        <v>7</v>
      </c>
      <c r="C60" t="s">
        <v>276</v>
      </c>
      <c r="D60" s="6">
        <v>2021</v>
      </c>
      <c r="E60" s="8" t="s">
        <v>277</v>
      </c>
      <c r="F60" t="s">
        <v>14</v>
      </c>
      <c r="G60" t="s">
        <v>244</v>
      </c>
      <c r="H60" t="s">
        <v>278</v>
      </c>
      <c r="I60">
        <v>14</v>
      </c>
      <c r="J60" s="6"/>
      <c r="M60" s="10"/>
      <c r="Q60" s="8"/>
      <c r="R60" s="6"/>
    </row>
    <row r="61" spans="1:18" ht="16" x14ac:dyDescent="0.2">
      <c r="A61" s="11" t="s">
        <v>162</v>
      </c>
      <c r="B61" s="11" t="s">
        <v>7</v>
      </c>
      <c r="C61" t="s">
        <v>162</v>
      </c>
      <c r="D61" s="6">
        <v>2021</v>
      </c>
      <c r="E61" s="8" t="s">
        <v>279</v>
      </c>
      <c r="F61" t="s">
        <v>14</v>
      </c>
      <c r="G61" t="s">
        <v>244</v>
      </c>
      <c r="H61" t="s">
        <v>280</v>
      </c>
      <c r="I61">
        <v>16</v>
      </c>
      <c r="J61" s="6"/>
      <c r="M61" s="10"/>
      <c r="Q61" s="8"/>
      <c r="R61" s="6"/>
    </row>
    <row r="62" spans="1:18" ht="32" x14ac:dyDescent="0.2">
      <c r="A62" s="11" t="s">
        <v>281</v>
      </c>
      <c r="B62" s="11" t="s">
        <v>7</v>
      </c>
      <c r="C62" t="s">
        <v>282</v>
      </c>
      <c r="D62" s="6">
        <v>2021</v>
      </c>
      <c r="E62" s="8" t="s">
        <v>283</v>
      </c>
      <c r="F62" t="s">
        <v>14</v>
      </c>
      <c r="G62" t="s">
        <v>244</v>
      </c>
      <c r="H62" t="s">
        <v>284</v>
      </c>
      <c r="I62">
        <v>12</v>
      </c>
      <c r="J62" s="6"/>
      <c r="M62" s="10"/>
      <c r="Q62" s="8"/>
      <c r="R62" s="6"/>
    </row>
    <row r="63" spans="1:18" ht="32" x14ac:dyDescent="0.2">
      <c r="A63" s="11" t="s">
        <v>285</v>
      </c>
      <c r="B63" s="11" t="s">
        <v>7</v>
      </c>
      <c r="C63" t="s">
        <v>286</v>
      </c>
      <c r="D63" s="6">
        <v>2021</v>
      </c>
      <c r="E63" s="8" t="s">
        <v>287</v>
      </c>
      <c r="F63" t="s">
        <v>14</v>
      </c>
      <c r="G63" t="s">
        <v>244</v>
      </c>
      <c r="H63" t="s">
        <v>288</v>
      </c>
      <c r="I63">
        <v>11</v>
      </c>
      <c r="J63" s="6"/>
      <c r="M63" s="10"/>
      <c r="Q63" s="8"/>
      <c r="R63" s="6"/>
    </row>
    <row r="64" spans="1:18" ht="32" x14ac:dyDescent="0.2">
      <c r="A64" s="11" t="s">
        <v>289</v>
      </c>
      <c r="B64" s="11" t="s">
        <v>7</v>
      </c>
      <c r="C64" t="s">
        <v>290</v>
      </c>
      <c r="D64" s="6">
        <v>2021</v>
      </c>
      <c r="E64" s="8" t="s">
        <v>291</v>
      </c>
      <c r="F64" t="s">
        <v>14</v>
      </c>
      <c r="G64" t="s">
        <v>244</v>
      </c>
      <c r="H64" t="s">
        <v>292</v>
      </c>
      <c r="J64" s="6"/>
      <c r="M64" s="10"/>
      <c r="Q64" s="8"/>
      <c r="R64" s="6"/>
    </row>
    <row r="65" spans="1:18" ht="16" x14ac:dyDescent="0.2">
      <c r="A65" s="11" t="s">
        <v>293</v>
      </c>
      <c r="B65" s="12" t="s">
        <v>7</v>
      </c>
      <c r="C65" t="s">
        <v>293</v>
      </c>
      <c r="D65" s="6">
        <v>2021</v>
      </c>
      <c r="E65" s="8" t="s">
        <v>294</v>
      </c>
      <c r="F65" t="s">
        <v>14</v>
      </c>
      <c r="G65" t="s">
        <v>244</v>
      </c>
      <c r="H65" t="s">
        <v>295</v>
      </c>
      <c r="J65" s="6"/>
      <c r="M65" s="10"/>
      <c r="Q65" s="8"/>
      <c r="R65" s="6"/>
    </row>
    <row r="66" spans="1:18" ht="32" x14ac:dyDescent="0.2">
      <c r="A66" s="11" t="s">
        <v>297</v>
      </c>
      <c r="B66" s="11" t="s">
        <v>7</v>
      </c>
      <c r="C66" t="s">
        <v>296</v>
      </c>
      <c r="D66" s="6">
        <v>2021</v>
      </c>
      <c r="E66" s="8" t="s">
        <v>298</v>
      </c>
      <c r="F66" t="s">
        <v>14</v>
      </c>
      <c r="G66" t="s">
        <v>244</v>
      </c>
      <c r="H66" t="s">
        <v>299</v>
      </c>
      <c r="I66">
        <v>7</v>
      </c>
      <c r="J66" s="6"/>
      <c r="M66" s="10"/>
      <c r="Q66" s="8"/>
      <c r="R66" s="6"/>
    </row>
    <row r="67" spans="1:18" ht="16" x14ac:dyDescent="0.2">
      <c r="A67" s="11" t="s">
        <v>302</v>
      </c>
      <c r="B67" s="11" t="s">
        <v>7</v>
      </c>
      <c r="C67" t="s">
        <v>301</v>
      </c>
      <c r="D67" s="6">
        <v>2021</v>
      </c>
      <c r="E67" s="8" t="s">
        <v>303</v>
      </c>
      <c r="F67" t="s">
        <v>14</v>
      </c>
      <c r="G67" t="s">
        <v>244</v>
      </c>
      <c r="H67" t="s">
        <v>300</v>
      </c>
      <c r="J67" s="6"/>
      <c r="M67" s="10"/>
      <c r="Q67" s="8"/>
      <c r="R67" s="6"/>
    </row>
    <row r="68" spans="1:18" ht="16" x14ac:dyDescent="0.2">
      <c r="A68" s="11" t="s">
        <v>304</v>
      </c>
      <c r="B68" s="11" t="s">
        <v>7</v>
      </c>
      <c r="C68" t="s">
        <v>52</v>
      </c>
      <c r="D68" s="6">
        <v>2021</v>
      </c>
      <c r="E68" s="8" t="s">
        <v>305</v>
      </c>
      <c r="F68" t="s">
        <v>14</v>
      </c>
      <c r="G68" t="s">
        <v>244</v>
      </c>
      <c r="H68" t="s">
        <v>306</v>
      </c>
      <c r="I68">
        <v>10</v>
      </c>
      <c r="J68" s="6"/>
      <c r="M68" s="10"/>
      <c r="Q68" s="8"/>
      <c r="R68" s="6"/>
    </row>
    <row r="69" spans="1:18" ht="16" x14ac:dyDescent="0.2">
      <c r="A69" s="11" t="s">
        <v>307</v>
      </c>
      <c r="B69" s="11" t="s">
        <v>7</v>
      </c>
      <c r="C69" t="s">
        <v>308</v>
      </c>
      <c r="D69" s="6">
        <v>2021</v>
      </c>
      <c r="E69" s="8" t="s">
        <v>309</v>
      </c>
      <c r="F69" t="s">
        <v>14</v>
      </c>
      <c r="G69" t="s">
        <v>244</v>
      </c>
      <c r="H69" t="s">
        <v>310</v>
      </c>
      <c r="I69">
        <v>11</v>
      </c>
      <c r="J69" s="6"/>
      <c r="M69" s="10"/>
      <c r="Q69" s="8"/>
      <c r="R69" s="6"/>
    </row>
    <row r="70" spans="1:18" ht="16" x14ac:dyDescent="0.2">
      <c r="A70" s="11" t="s">
        <v>75</v>
      </c>
      <c r="B70" s="11" t="s">
        <v>7</v>
      </c>
      <c r="C70" t="s">
        <v>76</v>
      </c>
      <c r="D70" s="6">
        <v>2016</v>
      </c>
      <c r="E70" s="8" t="s">
        <v>77</v>
      </c>
      <c r="F70" t="s">
        <v>13</v>
      </c>
      <c r="G70" t="s">
        <v>78</v>
      </c>
      <c r="H70" t="s">
        <v>311</v>
      </c>
      <c r="I70">
        <v>3</v>
      </c>
      <c r="J70" s="6"/>
      <c r="M70" s="10"/>
      <c r="Q70" s="8"/>
      <c r="R70" s="6"/>
    </row>
    <row r="71" spans="1:18" ht="32" x14ac:dyDescent="0.2">
      <c r="A71" s="11" t="s">
        <v>314</v>
      </c>
      <c r="B71" s="11" t="s">
        <v>7</v>
      </c>
      <c r="C71" t="s">
        <v>113</v>
      </c>
      <c r="D71" s="6">
        <v>2020</v>
      </c>
      <c r="E71" s="8" t="s">
        <v>313</v>
      </c>
      <c r="F71" t="s">
        <v>13</v>
      </c>
      <c r="G71" t="s">
        <v>312</v>
      </c>
      <c r="H71" t="s">
        <v>315</v>
      </c>
      <c r="I71">
        <v>4</v>
      </c>
      <c r="J71" s="6"/>
      <c r="M71" s="10"/>
      <c r="Q71" s="8"/>
      <c r="R71" s="6"/>
    </row>
    <row r="72" spans="1:18" ht="16" x14ac:dyDescent="0.2">
      <c r="A72" s="11" t="s">
        <v>317</v>
      </c>
      <c r="B72" s="11" t="s">
        <v>7</v>
      </c>
      <c r="C72" t="s">
        <v>318</v>
      </c>
      <c r="D72" s="6">
        <v>2021</v>
      </c>
      <c r="E72" s="8" t="s">
        <v>319</v>
      </c>
      <c r="F72" t="s">
        <v>14</v>
      </c>
      <c r="G72" t="s">
        <v>244</v>
      </c>
      <c r="H72" t="s">
        <v>320</v>
      </c>
      <c r="I72">
        <v>8</v>
      </c>
      <c r="J72" s="6"/>
      <c r="M72" s="10"/>
      <c r="Q72" s="8"/>
      <c r="R72" s="6"/>
    </row>
  </sheetData>
  <conditionalFormatting sqref="A6:R9 A11:R11 A10:G10 A13:R50 A12:G12 I12:R12 J10:R10">
    <cfRule type="expression" dxfId="21" priority="13" stopIfTrue="1">
      <formula>$R6="✓"</formula>
    </cfRule>
    <cfRule type="expression" dxfId="20" priority="14">
      <formula>$O6="Nein"</formula>
    </cfRule>
    <cfRule type="expression" dxfId="19" priority="15">
      <formula>$J6="TODO"</formula>
    </cfRule>
    <cfRule type="expression" dxfId="18" priority="16">
      <formula>$J6="Abweichung"</formula>
    </cfRule>
  </conditionalFormatting>
  <conditionalFormatting sqref="H12:I12">
    <cfRule type="expression" dxfId="17" priority="21" stopIfTrue="1">
      <formula>$R10="✓"</formula>
    </cfRule>
    <cfRule type="expression" dxfId="16" priority="22">
      <formula>$O10="Nein"</formula>
    </cfRule>
    <cfRule type="expression" dxfId="15" priority="23">
      <formula>$J10="TODO"</formula>
    </cfRule>
    <cfRule type="expression" dxfId="14" priority="24">
      <formula>$J10="Abweichung"</formula>
    </cfRule>
  </conditionalFormatting>
  <conditionalFormatting sqref="A70">
    <cfRule type="expression" dxfId="11" priority="9" stopIfTrue="1">
      <formula>$R70="✓"</formula>
    </cfRule>
    <cfRule type="expression" dxfId="10" priority="10">
      <formula>$O70="Nein"</formula>
    </cfRule>
    <cfRule type="expression" dxfId="9" priority="11">
      <formula>$J70="TODO"</formula>
    </cfRule>
    <cfRule type="expression" dxfId="8" priority="12">
      <formula>$J70="Abweichung"</formula>
    </cfRule>
  </conditionalFormatting>
  <conditionalFormatting sqref="C71">
    <cfRule type="expression" dxfId="7" priority="5" stopIfTrue="1">
      <formula>$R71="✓"</formula>
    </cfRule>
    <cfRule type="expression" dxfId="6" priority="6">
      <formula>$O71="Nein"</formula>
    </cfRule>
    <cfRule type="expression" dxfId="5" priority="7">
      <formula>$J71="TODO"</formula>
    </cfRule>
    <cfRule type="expression" dxfId="4" priority="8">
      <formula>$J71="Abweichung"</formula>
    </cfRule>
  </conditionalFormatting>
  <conditionalFormatting sqref="A71">
    <cfRule type="expression" dxfId="3" priority="1" stopIfTrue="1">
      <formula>$R71="✓"</formula>
    </cfRule>
    <cfRule type="expression" dxfId="2" priority="2">
      <formula>$O71="Nein"</formula>
    </cfRule>
    <cfRule type="expression" dxfId="1" priority="3">
      <formula>$J71="TODO"</formula>
    </cfRule>
    <cfRule type="expression" dxfId="0" priority="4">
      <formula>$J71="Abweichung"</formula>
    </cfRule>
  </conditionalFormatting>
  <pageMargins left="0.7" right="0.7" top="0.75" bottom="0.75" header="0.3" footer="0.3"/>
  <pageSetup paperSize="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Ungültiger Wert" error="Bitte einen Wert aus der Dropdown-Liste wählen." xr:uid="{6FD4BF95-D08F-4FF4-9E95-9F4FFF06B3C2}">
          <x14:formula1>
            <xm:f>Listen!$A$2:$A$7</xm:f>
          </x14:formula1>
          <xm:sqref>B6:B72</xm:sqref>
        </x14:dataValidation>
        <x14:dataValidation type="list" allowBlank="1" showInputMessage="1" showErrorMessage="1" errorTitle="Ungültiger Wert" error="Bitte einen Wert aus der Dropdown-Liste wählen." xr:uid="{22FB5F8D-6434-40FA-A338-F412E79D5A6D}">
          <x14:formula1>
            <xm:f>Listen!$B$2:$B$7</xm:f>
          </x14:formula1>
          <xm:sqref>F6:F72</xm:sqref>
        </x14:dataValidation>
        <x14:dataValidation type="list" allowBlank="1" showInputMessage="1" showErrorMessage="1" errorTitle="Ungültiger Wert" error="Bitte einen Wert aus der Dropdown-Liste wählen." xr:uid="{7B3378E9-3663-4962-954C-2DE3FFD4F476}">
          <x14:formula1>
            <xm:f>Listen!$C$2:$C$5</xm:f>
          </x14:formula1>
          <xm:sqref>J6:J72</xm:sqref>
        </x14:dataValidation>
        <x14:dataValidation type="list" allowBlank="1" showInputMessage="1" showErrorMessage="1" errorTitle="Ungültiger Wert" error="Bitte einen Wert aus der Dropdown-Liste wählen." xr:uid="{261C7A44-F3B8-4148-9CF4-546DF5EA2F09}">
          <x14:formula1>
            <xm:f>Listen!$D$2:$D$6</xm:f>
          </x14:formula1>
          <xm:sqref>K6:K72</xm:sqref>
        </x14:dataValidation>
        <x14:dataValidation type="list" allowBlank="1" showInputMessage="1" showErrorMessage="1" errorTitle="Ungültiger Wert" error="Bitte einen Wert aus der Dropdown-Liste wählen." xr:uid="{2902D571-B10E-4AE1-8BD1-4A5FE6D0D192}">
          <x14:formula1>
            <xm:f>Listen!$E$2:$E$4</xm:f>
          </x14:formula1>
          <xm:sqref>O6:O72</xm:sqref>
        </x14:dataValidation>
        <x14:dataValidation type="list" allowBlank="1" showInputMessage="1" showErrorMessage="1" errorTitle="Ungültiger Wert" error="Bitte einen Wert aus der Dropdown-Liste wählen." xr:uid="{B10C74D7-995A-4A9C-915A-095DF0C6191C}">
          <x14:formula1>
            <xm:f>Listen!$F$2:$F$7</xm:f>
          </x14:formula1>
          <xm:sqref>P6:P72</xm:sqref>
        </x14:dataValidation>
        <x14:dataValidation type="list" allowBlank="1" showInputMessage="1" showErrorMessage="1" errorTitle="Ungültiger Wert" error="Bitte einen Wert aus der Dropdown-Liste wählen." xr:uid="{1274EEF3-7C33-4D7B-B823-8B28782E9D15}">
          <x14:formula1>
            <xm:f>Listen!$G$2:$G$3</xm:f>
          </x14:formula1>
          <xm:sqref>R6:R72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88DC-0E11-499F-BE9E-61EB87B6EDEE}">
  <dimension ref="A1:C46"/>
  <sheetViews>
    <sheetView workbookViewId="0"/>
  </sheetViews>
  <sheetFormatPr baseColWidth="10" defaultColWidth="8.83203125" defaultRowHeight="15" x14ac:dyDescent="0.2"/>
  <cols>
    <col min="1" max="1" width="39.1640625" customWidth="1"/>
    <col min="2" max="2" width="24.83203125" customWidth="1"/>
    <col min="3" max="3" width="21.33203125" customWidth="1"/>
  </cols>
  <sheetData>
    <row r="1" spans="1:3" x14ac:dyDescent="0.2">
      <c r="A1" s="4" t="s">
        <v>43</v>
      </c>
      <c r="B1" s="4" t="s">
        <v>238</v>
      </c>
      <c r="C1" s="4" t="s">
        <v>239</v>
      </c>
    </row>
    <row r="2" spans="1:3" x14ac:dyDescent="0.2">
      <c r="A2" t="str">
        <f>Literatur!A6</f>
        <v>stamm2021fehlenderblick</v>
      </c>
      <c r="C2" t="str">
        <f t="shared" ref="C2:C46" si="0">IF(B2="","TODO",IF(B2=0,"NICHT ZITIERT","OK"))</f>
        <v>TODO</v>
      </c>
    </row>
    <row r="3" spans="1:3" x14ac:dyDescent="0.2">
      <c r="A3" t="str">
        <f>Literatur!A7</f>
        <v>kellerkoller2021hellekoepfe</v>
      </c>
      <c r="C3" t="str">
        <f t="shared" si="0"/>
        <v>TODO</v>
      </c>
    </row>
    <row r="4" spans="1:3" x14ac:dyDescent="0.2">
      <c r="A4" t="str">
        <f>Literatur!A8</f>
        <v>kellerkoller2009begabte</v>
      </c>
      <c r="C4" t="str">
        <f t="shared" si="0"/>
        <v>TODO</v>
      </c>
    </row>
    <row r="5" spans="1:3" x14ac:dyDescent="0.2">
      <c r="A5" t="str">
        <f>Literatur!A9</f>
        <v>maehler2018diagnostik</v>
      </c>
      <c r="C5" t="str">
        <f t="shared" si="0"/>
        <v>TODO</v>
      </c>
    </row>
    <row r="6" spans="1:3" x14ac:dyDescent="0.2">
      <c r="A6" t="str">
        <f>Literatur!A10</f>
        <v>preckel2013hochbegabung</v>
      </c>
      <c r="C6" t="str">
        <f t="shared" si="0"/>
        <v>TODO</v>
      </c>
    </row>
    <row r="7" spans="1:3" x14ac:dyDescent="0.2">
      <c r="A7" t="str">
        <f>Literatur!A11</f>
        <v>muelleroppliger2021handbuch</v>
      </c>
      <c r="C7" t="str">
        <f t="shared" si="0"/>
        <v>TODO</v>
      </c>
    </row>
    <row r="8" spans="1:3" x14ac:dyDescent="0.2">
      <c r="A8" t="str">
        <f>Literatur!A12</f>
        <v>trautmann2016einfuehrung</v>
      </c>
      <c r="C8" t="str">
        <f t="shared" si="0"/>
        <v>TODO</v>
      </c>
    </row>
    <row r="9" spans="1:3" x14ac:dyDescent="0.2">
      <c r="A9" t="str">
        <f>Literatur!A13</f>
        <v>reutlinger2015hochbegabung</v>
      </c>
      <c r="C9" t="str">
        <f t="shared" si="0"/>
        <v>TODO</v>
      </c>
    </row>
    <row r="10" spans="1:3" x14ac:dyDescent="0.2">
      <c r="A10" t="str">
        <f>Literatur!A14</f>
        <v>ipege2009professionelle</v>
      </c>
      <c r="C10" t="str">
        <f t="shared" si="0"/>
        <v>TODO</v>
      </c>
    </row>
    <row r="11" spans="1:3" x14ac:dyDescent="0.2">
      <c r="A11" t="str">
        <f>Literatur!A15</f>
        <v>uslucan2012begabung</v>
      </c>
      <c r="C11" t="str">
        <f t="shared" si="0"/>
        <v>TODO</v>
      </c>
    </row>
    <row r="12" spans="1:3" x14ac:dyDescent="0.2">
      <c r="A12" t="str">
        <f>Literatur!A16</f>
        <v>stamm2014handbuch</v>
      </c>
      <c r="C12" t="str">
        <f t="shared" si="0"/>
        <v>TODO</v>
      </c>
    </row>
    <row r="13" spans="1:3" x14ac:dyDescent="0.2">
      <c r="A13" t="str">
        <f>Literatur!A17</f>
        <v>webb2020doppeldiagnosen</v>
      </c>
      <c r="C13" t="str">
        <f t="shared" si="0"/>
        <v>TODO</v>
      </c>
    </row>
    <row r="14" spans="1:3" x14ac:dyDescent="0.2">
      <c r="A14" t="str">
        <f>Literatur!A18</f>
        <v>rosebrock2010grundlagen</v>
      </c>
      <c r="C14" t="str">
        <f t="shared" si="0"/>
        <v>TODO</v>
      </c>
    </row>
    <row r="15" spans="1:3" x14ac:dyDescent="0.2">
      <c r="A15" t="str">
        <f>Literatur!A19</f>
        <v>gold2018lesenkannmanlernen</v>
      </c>
      <c r="C15" t="str">
        <f t="shared" si="0"/>
        <v>TODO</v>
      </c>
    </row>
    <row r="16" spans="1:3" x14ac:dyDescent="0.2">
      <c r="A16" t="str">
        <f>Literatur!A20</f>
        <v>lehwald2017motivation</v>
      </c>
      <c r="C16" t="str">
        <f t="shared" si="0"/>
        <v>TODO</v>
      </c>
    </row>
    <row r="17" spans="1:3" x14ac:dyDescent="0.2">
      <c r="A17" t="str">
        <f>Literatur!A21</f>
        <v>fischer2020begabungsfoerderung</v>
      </c>
      <c r="C17" t="str">
        <f t="shared" si="0"/>
        <v>TODO</v>
      </c>
    </row>
    <row r="18" spans="1:3" x14ac:dyDescent="0.2">
      <c r="A18" t="str">
        <f>Literatur!A22</f>
        <v>sturm2016graphomotorik</v>
      </c>
      <c r="C18" t="str">
        <f t="shared" si="0"/>
        <v>TODO</v>
      </c>
    </row>
    <row r="19" spans="1:3" x14ac:dyDescent="0.2">
      <c r="A19" t="str">
        <f>Literatur!A23</f>
        <v>grossrieder2010anerkennung</v>
      </c>
      <c r="C19" t="str">
        <f t="shared" si="0"/>
        <v>TODO</v>
      </c>
    </row>
    <row r="20" spans="1:3" x14ac:dyDescent="0.2">
      <c r="A20" t="str">
        <f>Literatur!A24</f>
        <v>kuhl2019diversitaet</v>
      </c>
      <c r="C20" t="str">
        <f t="shared" si="0"/>
        <v>TODO</v>
      </c>
    </row>
    <row r="21" spans="1:3" x14ac:dyDescent="0.2">
      <c r="A21" t="str">
        <f>Literatur!A25</f>
        <v>behrensen2019inklusive</v>
      </c>
      <c r="C21" t="str">
        <f t="shared" si="0"/>
        <v>TODO</v>
      </c>
    </row>
    <row r="22" spans="1:3" x14ac:dyDescent="0.2">
      <c r="A22" t="str">
        <f>Literatur!A26</f>
        <v>booth2019index</v>
      </c>
      <c r="C22" t="str">
        <f t="shared" si="0"/>
        <v>TODO</v>
      </c>
    </row>
    <row r="23" spans="1:3" x14ac:dyDescent="0.2">
      <c r="A23" t="str">
        <f>Literatur!A27</f>
        <v>stamm2012migranten</v>
      </c>
      <c r="C23" t="str">
        <f t="shared" si="0"/>
        <v>TODO</v>
      </c>
    </row>
    <row r="24" spans="1:3" x14ac:dyDescent="0.2">
      <c r="A24" t="str">
        <f>Literatur!A28</f>
        <v>kappus2010migration</v>
      </c>
      <c r="C24" t="str">
        <f t="shared" si="0"/>
        <v>TODO</v>
      </c>
    </row>
    <row r="25" spans="1:3" x14ac:dyDescent="0.2">
      <c r="A25" t="str">
        <f>Literatur!A29</f>
        <v>buholzer2010allegleich</v>
      </c>
      <c r="C25" t="str">
        <f t="shared" si="0"/>
        <v>TODO</v>
      </c>
    </row>
    <row r="26" spans="1:3" x14ac:dyDescent="0.2">
      <c r="A26" t="str">
        <f>Literatur!A30</f>
        <v>weigand2021separativ</v>
      </c>
      <c r="C26" t="str">
        <f t="shared" si="0"/>
        <v>TODO</v>
      </c>
    </row>
    <row r="27" spans="1:3" x14ac:dyDescent="0.2">
      <c r="A27" t="str">
        <f>Literatur!A31</f>
        <v>sedmak2021bildungsgerechtigkeit</v>
      </c>
      <c r="C27" t="str">
        <f t="shared" si="0"/>
        <v>TODO</v>
      </c>
    </row>
    <row r="28" spans="1:3" x14ac:dyDescent="0.2">
      <c r="A28" t="str">
        <f>Literatur!A32</f>
        <v>muelleroppliger2021plurale</v>
      </c>
      <c r="C28" t="str">
        <f t="shared" si="0"/>
        <v>TODO</v>
      </c>
    </row>
    <row r="29" spans="1:3" x14ac:dyDescent="0.2">
      <c r="A29" t="str">
        <f>Literatur!A33</f>
        <v>unger2010begabungsfoerderung</v>
      </c>
      <c r="C29" t="str">
        <f t="shared" si="0"/>
        <v>TODO</v>
      </c>
    </row>
    <row r="30" spans="1:3" x14ac:dyDescent="0.2">
      <c r="A30" t="str">
        <f>Literatur!A34</f>
        <v>brunner2021hochbegabung</v>
      </c>
      <c r="C30" t="str">
        <f t="shared" si="0"/>
        <v>TODO</v>
      </c>
    </row>
    <row r="31" spans="1:3" x14ac:dyDescent="0.2">
      <c r="A31" t="str">
        <f>Literatur!A35</f>
        <v>burow2021positive</v>
      </c>
      <c r="C31" t="str">
        <f t="shared" si="0"/>
        <v>TODO</v>
      </c>
    </row>
    <row r="32" spans="1:3" x14ac:dyDescent="0.2">
      <c r="A32" t="str">
        <f>Literatur!A36</f>
        <v>burow2020future</v>
      </c>
      <c r="C32" t="str">
        <f t="shared" si="0"/>
        <v>TODO</v>
      </c>
    </row>
    <row r="33" spans="1:3" x14ac:dyDescent="0.2">
      <c r="A33" t="str">
        <f>Literatur!A37</f>
        <v>leikhof2021jugendliche</v>
      </c>
      <c r="C33" t="str">
        <f t="shared" si="0"/>
        <v>TODO</v>
      </c>
    </row>
    <row r="34" spans="1:3" x14ac:dyDescent="0.2">
      <c r="A34" t="str">
        <f>Literatur!A38</f>
        <v>kosoroklabhart2021voneltern</v>
      </c>
      <c r="C34" t="str">
        <f t="shared" si="0"/>
        <v>TODO</v>
      </c>
    </row>
    <row r="35" spans="1:3" x14ac:dyDescent="0.2">
      <c r="A35" t="str">
        <f>Literatur!A39</f>
        <v>macha2019gender</v>
      </c>
      <c r="C35" t="str">
        <f t="shared" si="0"/>
        <v>TODO</v>
      </c>
    </row>
    <row r="36" spans="1:3" x14ac:dyDescent="0.2">
      <c r="A36" t="str">
        <f>Literatur!A40</f>
        <v>bfs2022migration</v>
      </c>
      <c r="C36" t="str">
        <f t="shared" si="0"/>
        <v>TODO</v>
      </c>
    </row>
    <row r="37" spans="1:3" x14ac:dyDescent="0.2">
      <c r="A37" t="str">
        <f>Literatur!A41</f>
        <v>erzinger2023pisa</v>
      </c>
      <c r="C37" t="str">
        <f t="shared" si="0"/>
        <v>TODO</v>
      </c>
    </row>
    <row r="38" spans="1:3" x14ac:dyDescent="0.2">
      <c r="A38" t="str">
        <f>Literatur!A42</f>
        <v>stamm2014mirage</v>
      </c>
      <c r="C38" t="str">
        <f t="shared" si="0"/>
        <v>TODO</v>
      </c>
    </row>
    <row r="39" spans="1:3" x14ac:dyDescent="0.2">
      <c r="A39" t="str">
        <f>Literatur!A43</f>
        <v>stern2025intelligenz</v>
      </c>
      <c r="C39" t="str">
        <f t="shared" si="0"/>
        <v>TODO</v>
      </c>
    </row>
    <row r="40" spans="1:3" x14ac:dyDescent="0.2">
      <c r="A40" t="str">
        <f>Literatur!A44</f>
        <v>kellerkoller2011erkennen</v>
      </c>
      <c r="C40" t="str">
        <f t="shared" si="0"/>
        <v>TODO</v>
      </c>
    </row>
    <row r="41" spans="1:3" x14ac:dyDescent="0.2">
      <c r="A41" t="str">
        <f>Literatur!A45</f>
        <v>lemas2023begriffsklaerung</v>
      </c>
      <c r="C41" t="str">
        <f t="shared" si="0"/>
        <v>TODO</v>
      </c>
    </row>
    <row r="42" spans="1:3" x14ac:dyDescent="0.2">
      <c r="A42" t="str">
        <f>Literatur!A46</f>
        <v>dvs2025bbf</v>
      </c>
      <c r="C42" t="str">
        <f t="shared" si="0"/>
        <v>TODO</v>
      </c>
    </row>
    <row r="43" spans="1:3" x14ac:dyDescent="0.2">
      <c r="A43" t="str">
        <f>Literatur!A47</f>
        <v>mun2020identifying</v>
      </c>
      <c r="C43" t="str">
        <f t="shared" si="0"/>
        <v>TODO</v>
      </c>
    </row>
    <row r="44" spans="1:3" x14ac:dyDescent="0.2">
      <c r="A44" t="str">
        <f>Literatur!A48</f>
        <v>gubbins2020promising</v>
      </c>
      <c r="C44" t="str">
        <f t="shared" si="0"/>
        <v>TODO</v>
      </c>
    </row>
    <row r="45" spans="1:3" x14ac:dyDescent="0.2">
      <c r="A45" t="str">
        <f>Literatur!A49</f>
        <v>alhroub2021utility</v>
      </c>
      <c r="C45" t="str">
        <f t="shared" si="0"/>
        <v>TODO</v>
      </c>
    </row>
    <row r="46" spans="1:3" x14ac:dyDescent="0.2">
      <c r="A46" t="str">
        <f>Literatur!A50</f>
        <v>alodat2025equitable</v>
      </c>
      <c r="C46" t="str">
        <f t="shared" si="0"/>
        <v>TODO</v>
      </c>
    </row>
  </sheetData>
  <conditionalFormatting sqref="A2:C46">
    <cfRule type="expression" dxfId="13" priority="1">
      <formula>$C2="OK"</formula>
    </cfRule>
    <cfRule type="expression" dxfId="12" priority="2">
      <formula>$C2="NICHT ZITIERT"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D35A-3B21-4D39-80D3-20FA217C7AB6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13</v>
      </c>
      <c r="C2" t="s">
        <v>19</v>
      </c>
      <c r="D2" t="s">
        <v>23</v>
      </c>
      <c r="E2" t="s">
        <v>28</v>
      </c>
      <c r="F2" t="s">
        <v>31</v>
      </c>
      <c r="G2" t="s">
        <v>37</v>
      </c>
    </row>
    <row r="3" spans="1:7" x14ac:dyDescent="0.2">
      <c r="A3" t="s">
        <v>8</v>
      </c>
      <c r="B3" t="s">
        <v>14</v>
      </c>
      <c r="C3" t="s">
        <v>20</v>
      </c>
      <c r="D3" t="s">
        <v>24</v>
      </c>
      <c r="E3" t="s">
        <v>29</v>
      </c>
      <c r="F3" t="s">
        <v>32</v>
      </c>
      <c r="G3" t="s">
        <v>38</v>
      </c>
    </row>
    <row r="4" spans="1:7" x14ac:dyDescent="0.2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33</v>
      </c>
    </row>
    <row r="5" spans="1:7" x14ac:dyDescent="0.2">
      <c r="A5" t="s">
        <v>10</v>
      </c>
      <c r="B5" t="s">
        <v>16</v>
      </c>
      <c r="C5" t="s">
        <v>22</v>
      </c>
      <c r="D5" t="s">
        <v>26</v>
      </c>
      <c r="F5" t="s">
        <v>34</v>
      </c>
    </row>
    <row r="6" spans="1:7" x14ac:dyDescent="0.2">
      <c r="A6" t="s">
        <v>11</v>
      </c>
      <c r="B6" t="s">
        <v>17</v>
      </c>
      <c r="D6" t="s">
        <v>27</v>
      </c>
      <c r="F6" t="s">
        <v>35</v>
      </c>
    </row>
    <row r="7" spans="1:7" x14ac:dyDescent="0.2">
      <c r="A7" t="s">
        <v>12</v>
      </c>
      <c r="B7" t="s">
        <v>18</v>
      </c>
      <c r="F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Literatur</vt:lpstr>
      <vt:lpstr>Zitatabgleich</vt:lpstr>
      <vt:lpstr>Listen</vt:lpstr>
      <vt:lpstr>Literatur!Druckbereich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Schmid</dc:creator>
  <cp:lastModifiedBy>Inti Merolli</cp:lastModifiedBy>
  <dcterms:created xsi:type="dcterms:W3CDTF">2026-04-19T07:10:52Z</dcterms:created>
  <dcterms:modified xsi:type="dcterms:W3CDTF">2026-04-19T14:42:55Z</dcterms:modified>
</cp:coreProperties>
</file>